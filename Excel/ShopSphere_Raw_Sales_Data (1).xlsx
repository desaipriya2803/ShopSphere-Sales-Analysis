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FC17381-DBF7-4BD9-9055-24943E8790E1}" xr6:coauthVersionLast="47" xr6:coauthVersionMax="47" xr10:uidLastSave="{00000000-0000-0000-0000-000000000000}"/>
  <bookViews>
    <workbookView xWindow="-110" yWindow="-110" windowWidth="19420" windowHeight="10300" firstSheet="5" activeTab="7" xr2:uid="{00000000-000D-0000-FFFF-FFFF00000000}"/>
  </bookViews>
  <sheets>
    <sheet name="Raw_Data" sheetId="1" r:id="rId1"/>
    <sheet name="Cleaning Data" sheetId="2" r:id="rId2"/>
    <sheet name="Category  Wise Revenue" sheetId="8" r:id="rId3"/>
    <sheet name="Product Wise Revenue" sheetId="9" r:id="rId4"/>
    <sheet name="Order_id wise Status Analysis" sheetId="18" r:id="rId5"/>
    <sheet name="City wise Revenue" sheetId="7" r:id="rId6"/>
    <sheet name="Dashboard" sheetId="19" r:id="rId7"/>
    <sheet name="SQL Querrys" sheetId="20" r:id="rId8"/>
    <sheet name="Sheet2" sheetId="21" r:id="rId9"/>
  </sheets>
  <definedNames>
    <definedName name="_xlnm._FilterDatabase" localSheetId="1" hidden="1">'Cleaning Data'!$A$1:$K$31</definedName>
    <definedName name="_xlnm._FilterDatabase" localSheetId="0" hidden="1">Raw_Data!$A$1:$J$31</definedName>
    <definedName name="_xlnm.Print_Area" localSheetId="8">Sheet2!$H$4</definedName>
    <definedName name="_xlnm.Print_Titles" localSheetId="8">Sheet2!$H:$H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" i="19" l="1"/>
  <c r="D10" i="19"/>
  <c r="A3" i="19"/>
  <c r="F10" i="19"/>
  <c r="I2" i="2" a="1"/>
  <c r="I2" i="2" s="1"/>
  <c r="A34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2" i="2"/>
  <c r="L33" i="2" l="1"/>
  <c r="M2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<sst xmlns="http://schemas.openxmlformats.org/spreadsheetml/2006/main" count="502" uniqueCount="119">
  <si>
    <t>Order_ID</t>
  </si>
  <si>
    <t>Customer_ID</t>
  </si>
  <si>
    <t>Order_Date</t>
  </si>
  <si>
    <t>Product_ID</t>
  </si>
  <si>
    <t>Product_Name</t>
  </si>
  <si>
    <t>Category</t>
  </si>
  <si>
    <t>Quantity</t>
  </si>
  <si>
    <t>Unit_Price</t>
  </si>
  <si>
    <t>City</t>
  </si>
  <si>
    <t>Order_Status</t>
  </si>
  <si>
    <t>2026-01-03</t>
  </si>
  <si>
    <t>2026-01-05</t>
  </si>
  <si>
    <t>2026-01-08</t>
  </si>
  <si>
    <t>2026-01-12</t>
  </si>
  <si>
    <t>2026-01-15</t>
  </si>
  <si>
    <t>2026-01-18</t>
  </si>
  <si>
    <t>2026-01-20</t>
  </si>
  <si>
    <t>2026-01-22</t>
  </si>
  <si>
    <t>2026-01-25</t>
  </si>
  <si>
    <t>2026-01-28</t>
  </si>
  <si>
    <t>2026-02-02</t>
  </si>
  <si>
    <t>2026-02-04</t>
  </si>
  <si>
    <t>2026-02-07</t>
  </si>
  <si>
    <t>2026-02-10</t>
  </si>
  <si>
    <t>2026-02-12</t>
  </si>
  <si>
    <t>2026-02-15</t>
  </si>
  <si>
    <t>2026-02-18</t>
  </si>
  <si>
    <t>2026-02-21</t>
  </si>
  <si>
    <t>2026-02-24</t>
  </si>
  <si>
    <t>2026-02-27</t>
  </si>
  <si>
    <t>2026-03-02</t>
  </si>
  <si>
    <t>2026-03-05</t>
  </si>
  <si>
    <t>2026-03-08</t>
  </si>
  <si>
    <t>2026-03-11</t>
  </si>
  <si>
    <t>2026-03-14</t>
  </si>
  <si>
    <t>2026-03-17</t>
  </si>
  <si>
    <t>2026-03-20</t>
  </si>
  <si>
    <t>2026-03-23</t>
  </si>
  <si>
    <t>2026-03-26</t>
  </si>
  <si>
    <t>2026-03-29</t>
  </si>
  <si>
    <t>Wireless Mouse</t>
  </si>
  <si>
    <t>Mechanical Keyboard</t>
  </si>
  <si>
    <t>Notebook Set</t>
  </si>
  <si>
    <t>Office Chair</t>
  </si>
  <si>
    <t>USB-C Cable</t>
  </si>
  <si>
    <t>Desk Lamp</t>
  </si>
  <si>
    <t>Water Bottle</t>
  </si>
  <si>
    <t>Yoga Mat</t>
  </si>
  <si>
    <t>Laptop Stand</t>
  </si>
  <si>
    <t>Coffee Mug Set</t>
  </si>
  <si>
    <t>Bluetooth Speaker</t>
  </si>
  <si>
    <t>Pen Set</t>
  </si>
  <si>
    <t>Backpack</t>
  </si>
  <si>
    <t>Table Fan</t>
  </si>
  <si>
    <t>Storage Box</t>
  </si>
  <si>
    <t>Running Shoes</t>
  </si>
  <si>
    <t>Monitor</t>
  </si>
  <si>
    <t>Desk Organizer</t>
  </si>
  <si>
    <t>Headphones</t>
  </si>
  <si>
    <t>Cushion  Set</t>
  </si>
  <si>
    <t>Power Bank</t>
  </si>
  <si>
    <t>Sticky Notes</t>
  </si>
  <si>
    <t>Office Desk</t>
  </si>
  <si>
    <t>Fitness Band</t>
  </si>
  <si>
    <t>Phone Stand</t>
  </si>
  <si>
    <t>Air Fryer</t>
  </si>
  <si>
    <t>Keyboard</t>
  </si>
  <si>
    <t>File Folder Set</t>
  </si>
  <si>
    <t>Travel Bottle</t>
  </si>
  <si>
    <t>Electronics</t>
  </si>
  <si>
    <t>Stationery</t>
  </si>
  <si>
    <t>Furniture</t>
  </si>
  <si>
    <t>Home</t>
  </si>
  <si>
    <t>Fitness</t>
  </si>
  <si>
    <t>Fashion</t>
  </si>
  <si>
    <t>Pune</t>
  </si>
  <si>
    <t>Mumbai</t>
  </si>
  <si>
    <t>Nashik</t>
  </si>
  <si>
    <t>Nagpur</t>
  </si>
  <si>
    <t xml:space="preserve">Pune </t>
  </si>
  <si>
    <t>Bengaluru</t>
  </si>
  <si>
    <t xml:space="preserve">Bengaluru </t>
  </si>
  <si>
    <t>Delivered</t>
  </si>
  <si>
    <t>Shipped</t>
  </si>
  <si>
    <t>Pending</t>
  </si>
  <si>
    <t>Cancelled</t>
  </si>
  <si>
    <t>pending</t>
  </si>
  <si>
    <t>Revenue</t>
  </si>
  <si>
    <t>Average Order Value</t>
  </si>
  <si>
    <t>Total Orders</t>
  </si>
  <si>
    <t>Total Revenue</t>
  </si>
  <si>
    <t>Row Labels</t>
  </si>
  <si>
    <t>Grand Total</t>
  </si>
  <si>
    <t>Sum of Revenue</t>
  </si>
  <si>
    <t>city clean</t>
  </si>
  <si>
    <t>Count of Order_ID</t>
  </si>
  <si>
    <t>Question</t>
  </si>
  <si>
    <t>Result</t>
  </si>
  <si>
    <t>SQL Query</t>
  </si>
  <si>
    <t>SUM(Quantity * Unit_Price)</t>
  </si>
  <si>
    <t>COUNT(Order_ID)</t>
  </si>
  <si>
    <t>SUM(Quantity * Unit_Price) / COUNT(Order_ID)</t>
  </si>
  <si>
    <t>Category-wise Revenue</t>
  </si>
  <si>
    <t>City-Wise-Revenue</t>
  </si>
  <si>
    <t xml:space="preserve">Order Status-wise Order </t>
  </si>
  <si>
    <t>Total_Orders</t>
  </si>
  <si>
    <t>City-wise Order Count</t>
  </si>
  <si>
    <t>Total</t>
  </si>
  <si>
    <t>Cushion  Set</t>
  </si>
  <si>
    <t>Category-wise Quantity Sold</t>
  </si>
  <si>
    <t>Total Quantity Sold</t>
  </si>
  <si>
    <t>Orders with Revenue Above ₹5,000</t>
  </si>
  <si>
    <t>Order_Revenue</t>
  </si>
  <si>
    <t>Total_Quantity_Sold</t>
  </si>
  <si>
    <t>Average Unit Price by Category</t>
  </si>
  <si>
    <t>Average Unit Price</t>
  </si>
  <si>
    <t>Orders with Quantity &gt;2</t>
  </si>
  <si>
    <t xml:space="preserve">Product </t>
  </si>
  <si>
    <t>ShopSphere Sales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</si>
</sst>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8" formatCode="&quot;₹&quot;\ #,##0.00;[Red]&quot;₹&quot;\ \-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3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 wrapText="1"/>
    </xf>
    <xf numFmtId="6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 wrapText="1"/>
    </xf>
    <xf numFmtId="8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horizontal="center" vertical="center" wrapText="1"/>
    </xf>
    <xf numFmtId="0" fontId="4" fillId="6" borderId="0" xfId="0" applyFont="1" applyFill="1" applyAlignment="1">
      <alignment horizontal="center"/>
    </xf>
    <xf numFmtId="0" fontId="1" fillId="8" borderId="0" xfId="0" applyFont="1" applyFill="1" applyAlignment="1">
      <alignment horizontal="right" vertical="center" wrapText="1"/>
    </xf>
    <xf numFmtId="0" fontId="1" fillId="8" borderId="0" xfId="0" applyFont="1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8" borderId="0" xfId="0" applyFill="1" applyAlignment="1">
      <alignment horizontal="right" vertical="center" wrapText="1"/>
    </xf>
    <xf numFmtId="0" fontId="1" fillId="8" borderId="0" xfId="0" applyFont="1" applyFill="1"/>
    <xf numFmtId="0" fontId="1" fillId="8" borderId="0" xfId="0" applyFont="1" applyFill="1" applyAlignment="1">
      <alignment vertical="center" wrapText="1"/>
    </xf>
    <xf numFmtId="6" fontId="1" fillId="0" borderId="0" xfId="0" applyNumberFormat="1" applyFont="1" applyAlignment="1">
      <alignment vertical="center" wrapText="1"/>
    </xf>
    <xf numFmtId="0" fontId="4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  <xf numFmtId="0" fontId="4" fillId="9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0" fillId="10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</cellXfs>
  <cellStyles count="1">
    <cellStyle name="Normal" xfId="0" builtinId="0"/>
  </cellStyles>
  <dxfs count="4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family val="2"/>
        <scheme val="none"/>
      </font>
      <alignment horizontal="general" vertical="center" textRotation="0" wrapText="1" indent="0" justifyLastLine="0" shrinkToFit="0" readingOrder="0"/>
    </dxf>
    <dxf>
      <font>
        <b/>
      </font>
      <fill>
        <patternFill patternType="solid">
          <fgColor indexed="64"/>
          <bgColor rgb="FFD4D4D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ont>
        <b/>
      </font>
      <numFmt numFmtId="0" formatCode="General"/>
      <alignment horizontal="right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ill>
        <patternFill patternType="solid">
          <fgColor indexed="64"/>
          <bgColor rgb="FF000000"/>
        </patternFill>
      </fill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0000"/>
        </patternFill>
      </fill>
      <alignment horizontal="right" vertical="center" textRotation="0" wrapText="1" indent="0" justifyLastLine="0" shrinkToFit="0" readingOrder="0"/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righ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0000"/>
        </patternFill>
      </fill>
      <alignment horizontal="right" vertical="center" textRotation="0" wrapText="1" indent="0" justifyLastLine="0" shrinkToFit="0" readingOrder="0"/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</dxf>
    <dxf>
      <font>
        <b/>
      </font>
      <fill>
        <patternFill patternType="solid">
          <fgColor indexed="64"/>
          <bgColor rgb="FF000000"/>
        </patternFill>
      </fill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  <fill>
        <patternFill patternType="solid">
          <fgColor indexed="64"/>
          <bgColor rgb="FF000000"/>
        </patternFill>
      </fill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</dxf>
    <dxf>
      <font>
        <b/>
      </font>
      <fill>
        <patternFill patternType="solid">
          <fgColor indexed="64"/>
          <bgColor rgb="FF000000"/>
        </patternFill>
      </fill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</dxf>
    <dxf>
      <fill>
        <patternFill patternType="solid">
          <fgColor indexed="64"/>
          <bgColor rgb="FF000000"/>
        </patternFill>
      </fill>
    </dxf>
    <dxf>
      <font>
        <b/>
      </font>
      <alignment horizontal="right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</dxf>
    <dxf>
      <font>
        <b val="0"/>
      </font>
      <fill>
        <patternFill patternType="solid">
          <fgColor indexed="64"/>
          <bgColor rgb="FF000000"/>
        </patternFill>
      </fill>
    </dxf>
    <dxf>
      <font>
        <b/>
      </font>
      <numFmt numFmtId="10" formatCode="&quot;₹&quot;\ #,##0;[Red]&quot;₹&quot;\ \-#,##0"/>
      <alignment horizontal="general" vertical="center" textRotation="0" wrapText="1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000000"/>
        </patternFill>
      </fill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000000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[ShopSphere_Raw_Sales_Data (1).xlsx]Category  Wise Revenue!PivotTable6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Category  Wise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 Wise Revenue'!$C$3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'Category  Wise Revenue'!$B$4:$B$10</c:f>
              <c:strCache>
                <c:ptCount val="6"/>
                <c:pt idx="0">
                  <c:v>Electronics</c:v>
                </c:pt>
                <c:pt idx="1">
                  <c:v>Fashion</c:v>
                </c:pt>
                <c:pt idx="2">
                  <c:v>Fitness</c:v>
                </c:pt>
                <c:pt idx="3">
                  <c:v>Furniture</c:v>
                </c:pt>
                <c:pt idx="4">
                  <c:v>Home</c:v>
                </c:pt>
                <c:pt idx="5">
                  <c:v>Stationery</c:v>
                </c:pt>
              </c:strCache>
            </c:strRef>
          </c:cat>
          <c:val>
            <c:numRef>
              <c:f>'Category  Wise Revenue'!$C$4:$C$10</c:f>
              <c:numCache>
                <c:formatCode>General</c:formatCode>
                <c:ptCount val="6"/>
                <c:pt idx="0">
                  <c:v>36200</c:v>
                </c:pt>
                <c:pt idx="1">
                  <c:v>2100</c:v>
                </c:pt>
                <c:pt idx="2">
                  <c:v>8100</c:v>
                </c:pt>
                <c:pt idx="3">
                  <c:v>20600</c:v>
                </c:pt>
                <c:pt idx="4">
                  <c:v>14600</c:v>
                </c:pt>
                <c:pt idx="5">
                  <c:v>4270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B-4929-AA34-FB5C760B7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591435352"/>
        <c:axId val="591434632"/>
      </c:barChart>
      <c:catAx>
        <c:axId val="591435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434632"/>
        <c:crosses val="autoZero"/>
        <c:auto val="1"/>
        <c:lblAlgn val="ctr"/>
        <c:lblOffset val="100"/>
        <c:noMultiLvlLbl val="0"/>
      </c:catAx>
      <c:valAx>
        <c:axId val="591434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1435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9398925134358209"/>
          <c:y val="0.2510761154855643"/>
          <c:w val="0.10601074865641795"/>
          <c:h val="0.30535252059009865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[ShopSphere_Raw_Sales_Data (1).xlsx]Product Wise Revenue!PivotTable7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Product</a:t>
            </a:r>
            <a:r>
              <a:rPr lang="en-US" baseline="0"/>
              <a:t> Wise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'Product Wise Revenue'!$C$3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'Product Wise Revenue'!$B$4:$B$33</c:f>
              <c:strCache>
                <c:ptCount val="29"/>
                <c:pt idx="0">
                  <c:v>Monitor</c:v>
                </c:pt>
                <c:pt idx="1">
                  <c:v>Office Chair</c:v>
                </c:pt>
                <c:pt idx="2">
                  <c:v>Office Desk</c:v>
                </c:pt>
                <c:pt idx="3">
                  <c:v>Air Fryer</c:v>
                </c:pt>
                <c:pt idx="4">
                  <c:v>Headphones</c:v>
                </c:pt>
                <c:pt idx="5">
                  <c:v>Table Fan</c:v>
                </c:pt>
                <c:pt idx="6">
                  <c:v>Fitness Band</c:v>
                </c:pt>
                <c:pt idx="7">
                  <c:v>Running Shoes</c:v>
                </c:pt>
                <c:pt idx="8">
                  <c:v>Laptop Stand</c:v>
                </c:pt>
                <c:pt idx="9">
                  <c:v>Power Bank</c:v>
                </c:pt>
                <c:pt idx="10">
                  <c:v>Desk Lamp</c:v>
                </c:pt>
                <c:pt idx="11">
                  <c:v>Bluetooth Speaker</c:v>
                </c:pt>
                <c:pt idx="12">
                  <c:v>Backpack</c:v>
                </c:pt>
                <c:pt idx="13">
                  <c:v>Storage Box</c:v>
                </c:pt>
                <c:pt idx="14">
                  <c:v>Cushion  Set</c:v>
                </c:pt>
                <c:pt idx="15">
                  <c:v>Keyboard</c:v>
                </c:pt>
                <c:pt idx="16">
                  <c:v>Mechanical Keyboard</c:v>
                </c:pt>
                <c:pt idx="17">
                  <c:v>USB-C Cable</c:v>
                </c:pt>
                <c:pt idx="18">
                  <c:v>Coffee Mug Set</c:v>
                </c:pt>
                <c:pt idx="19">
                  <c:v>Water Bottle</c:v>
                </c:pt>
                <c:pt idx="20">
                  <c:v>Yoga Mat</c:v>
                </c:pt>
                <c:pt idx="21">
                  <c:v>Travel Bottle</c:v>
                </c:pt>
                <c:pt idx="22">
                  <c:v>Wireless Mouse</c:v>
                </c:pt>
                <c:pt idx="23">
                  <c:v>File Folder Set</c:v>
                </c:pt>
                <c:pt idx="24">
                  <c:v>Pen Set</c:v>
                </c:pt>
                <c:pt idx="25">
                  <c:v>Notebook Set</c:v>
                </c:pt>
                <c:pt idx="26">
                  <c:v>Sticky Notes</c:v>
                </c:pt>
                <c:pt idx="27">
                  <c:v>Desk Organizer</c:v>
                </c:pt>
                <c:pt idx="28">
                  <c:v>Phone Stand</c:v>
                </c:pt>
              </c:strCache>
            </c:strRef>
          </c:cat>
          <c:val>
            <c:numRef>
              <c:f>'Product Wise Revenue'!$C$4:$C$33</c:f>
              <c:numCache>
                <c:formatCode>General</c:formatCode>
                <c:ptCount val="29"/>
                <c:pt idx="0">
                  <c:v>12500</c:v>
                </c:pt>
                <c:pt idx="1">
                  <c:v>11000</c:v>
                </c:pt>
                <c:pt idx="2">
                  <c:v>7200</c:v>
                </c:pt>
                <c:pt idx="3">
                  <c:v>6800</c:v>
                </c:pt>
                <c:pt idx="4">
                  <c:v>5600</c:v>
                </c:pt>
                <c:pt idx="5">
                  <c:v>3800</c:v>
                </c:pt>
                <c:pt idx="6">
                  <c:v>3500</c:v>
                </c:pt>
                <c:pt idx="7">
                  <c:v>3200</c:v>
                </c:pt>
                <c:pt idx="8">
                  <c:v>3200</c:v>
                </c:pt>
                <c:pt idx="9">
                  <c:v>2400</c:v>
                </c:pt>
                <c:pt idx="10">
                  <c:v>2400</c:v>
                </c:pt>
                <c:pt idx="11">
                  <c:v>2200</c:v>
                </c:pt>
                <c:pt idx="12">
                  <c:v>2100</c:v>
                </c:pt>
                <c:pt idx="13">
                  <c:v>1800</c:v>
                </c:pt>
                <c:pt idx="14">
                  <c:v>1800</c:v>
                </c:pt>
                <c:pt idx="15">
                  <c:v>1800</c:v>
                </c:pt>
                <c:pt idx="16">
                  <c:v>1800</c:v>
                </c:pt>
                <c:pt idx="17">
                  <c:v>1600</c:v>
                </c:pt>
                <c:pt idx="18">
                  <c:v>1500</c:v>
                </c:pt>
                <c:pt idx="19">
                  <c:v>1400</c:v>
                </c:pt>
                <c:pt idx="20">
                  <c:v>1400</c:v>
                </c:pt>
                <c:pt idx="21">
                  <c:v>1300</c:v>
                </c:pt>
                <c:pt idx="22">
                  <c:v>1300</c:v>
                </c:pt>
                <c:pt idx="23">
                  <c:v>1200</c:v>
                </c:pt>
                <c:pt idx="24">
                  <c:v>900</c:v>
                </c:pt>
                <c:pt idx="25">
                  <c:v>750</c:v>
                </c:pt>
                <c:pt idx="26">
                  <c:v>720</c:v>
                </c:pt>
                <c:pt idx="27">
                  <c:v>700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09-4715-821C-C9B6D140A9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0658984"/>
        <c:axId val="872736944"/>
      </c:barChart>
      <c:catAx>
        <c:axId val="880658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2736944"/>
        <c:crosses val="autoZero"/>
        <c:auto val="1"/>
        <c:lblAlgn val="ctr"/>
        <c:lblOffset val="100"/>
        <c:noMultiLvlLbl val="0"/>
      </c:catAx>
      <c:valAx>
        <c:axId val="87273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658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[ShopSphere_Raw_Sales_Data (1).xlsx]Order_id wise Status Analysis!PivotTable15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Order Status Analysis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'Order_id wise Status Analysis'!$C$3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'Order_id wise Status Analysis'!$B$4:$B$8</c:f>
              <c:strCache>
                <c:ptCount val="4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Shipped</c:v>
                </c:pt>
              </c:strCache>
            </c:strRef>
          </c:cat>
          <c:val>
            <c:numRef>
              <c:f>'Order_id wise Status Analysis'!$C$4:$C$8</c:f>
              <c:numCache>
                <c:formatCode>General</c:formatCode>
                <c:ptCount val="4"/>
                <c:pt idx="0">
                  <c:v>1</c:v>
                </c:pt>
                <c:pt idx="1">
                  <c:v>22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C0-49F8-86A1-799891B66D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9934928"/>
        <c:axId val="459936008"/>
      </c:barChart>
      <c:catAx>
        <c:axId val="45993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936008"/>
        <c:crosses val="autoZero"/>
        <c:auto val="1"/>
        <c:lblAlgn val="ctr"/>
        <c:lblOffset val="100"/>
        <c:noMultiLvlLbl val="0"/>
      </c:catAx>
      <c:valAx>
        <c:axId val="459936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93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[ShopSphere_Raw_Sales_Data (1).xlsx]City wise Revenue!PivotTable5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City-wise Revenue Chart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'City wise Revenue'!$C$3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'City wise Revenue'!$B$4:$B$9</c:f>
              <c:strCache>
                <c:ptCount val="5"/>
                <c:pt idx="0">
                  <c:v>Bengaluru</c:v>
                </c:pt>
                <c:pt idx="1">
                  <c:v>Mumbai</c:v>
                </c:pt>
                <c:pt idx="2">
                  <c:v>Nagpur</c:v>
                </c:pt>
                <c:pt idx="3">
                  <c:v>Nashik</c:v>
                </c:pt>
                <c:pt idx="4">
                  <c:v>Pune</c:v>
                </c:pt>
              </c:strCache>
            </c:strRef>
          </c:cat>
          <c:val>
            <c:numRef>
              <c:f>'City wise Revenue'!$C$4:$C$9</c:f>
              <c:numCache>
                <c:formatCode>General</c:formatCode>
                <c:ptCount val="5"/>
                <c:pt idx="0">
                  <c:v>14300</c:v>
                </c:pt>
                <c:pt idx="1">
                  <c:v>11420</c:v>
                </c:pt>
                <c:pt idx="2">
                  <c:v>11400</c:v>
                </c:pt>
                <c:pt idx="3">
                  <c:v>12800</c:v>
                </c:pt>
                <c:pt idx="4">
                  <c:v>35950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B8-4D88-8731-8151334032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880340160"/>
        <c:axId val="880338000"/>
      </c:barChart>
      <c:catAx>
        <c:axId val="880340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38000"/>
        <c:crosses val="autoZero"/>
        <c:auto val="1"/>
        <c:lblAlgn val="ctr"/>
        <c:lblOffset val="100"/>
        <c:noMultiLvlLbl val="0"/>
      </c:catAx>
      <c:valAx>
        <c:axId val="880338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34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498474</xdr:colOff>
      <xdr:row>5</xdr:row>
      <xdr:rowOff>6350</xdr:rowOff>
    </xdr:from>
    <xdr:to>
      <xdr:col>13</xdr:col>
      <xdr:colOff>12699</xdr:colOff>
      <xdr:row>20</xdr:row>
      <xdr:rowOff>6350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80094A4-E178-9591-9FD4-56492AB32C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263524</xdr:colOff>
      <xdr:row>16</xdr:row>
      <xdr:rowOff>152400</xdr:rowOff>
    </xdr:from>
    <xdr:to>
      <xdr:col>11</xdr:col>
      <xdr:colOff>609599</xdr:colOff>
      <xdr:row>33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0E9AD0-ACAC-828F-080C-B2E14E1B5A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1</xdr:row>
      <xdr:rowOff>177800</xdr:rowOff>
    </xdr:from>
    <xdr:to>
      <xdr:col>11</xdr:col>
      <xdr:colOff>355600</xdr:colOff>
      <xdr:row>16</xdr:row>
      <xdr:rowOff>63500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07E106-A05D-AF08-9136-F3E329D71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2</xdr:row>
      <xdr:rowOff>120650</xdr:rowOff>
    </xdr:from>
    <xdr:to>
      <xdr:col>11</xdr:col>
      <xdr:colOff>371475</xdr:colOff>
      <xdr:row>17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F5FC54-7511-EE10-1356-7EA0437BB6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50800</xdr:colOff>
      <xdr:row>10</xdr:row>
      <xdr:rowOff>120650</xdr:rowOff>
    </xdr:from>
    <xdr:to>
      <xdr:col>4</xdr:col>
      <xdr:colOff>412750</xdr:colOff>
      <xdr:row>14</xdr:row>
      <xdr:rowOff>19050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FB019A27-35BC-66BB-D757-7509B9808AD0}"/>
            </a:ext>
          </a:extLst>
        </xdr:cNvPr>
        <xdr:cNvSpPr/>
      </xdr:nvSpPr>
      <xdr:spPr>
        <a:xfrm>
          <a:off x="2152650" y="1962150"/>
          <a:ext cx="1244600" cy="635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>
              <a:effectLst/>
            </a:rPr>
            <a:t> </a:t>
          </a:r>
          <a:endParaRPr lang="en-IN" sz="1100"/>
        </a:p>
      </xdr:txBody>
    </xdr:sp>
    <xdr:clientData/>
  </xdr:twoCellAnchor>
  <xdr:twoCellAnchor editAs="oneCell">
    <xdr:from>
      <xdr:col>3</xdr:col>
      <xdr:colOff>215900</xdr:colOff>
      <xdr:row>10</xdr:row>
      <xdr:rowOff>165100</xdr:rowOff>
    </xdr:from>
    <xdr:to>
      <xdr:col>4</xdr:col>
      <xdr:colOff>222250</xdr:colOff>
      <xdr:row>11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DE9F5C-4EBF-CC1C-B214-CFE675175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7750" y="2006600"/>
          <a:ext cx="8890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177800</xdr:colOff>
      <xdr:row>12</xdr:row>
      <xdr:rowOff>63500</xdr:rowOff>
    </xdr:from>
    <xdr:to>
      <xdr:col>4</xdr:col>
      <xdr:colOff>184150</xdr:colOff>
      <xdr:row>13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543F52A-EEA8-E60A-A011-DD9C60907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79650" y="2273300"/>
          <a:ext cx="8890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6290.025402893516" createdVersion="8" refreshedVersion="8" minRefreshableVersion="3" recordCount="30" xr:uid="{FE91D581-75BB-49B3-8478-D77D5960683F}">
  <cacheSource type="worksheet">
    <worksheetSource ref="A1:M31" sheet="Cleaning Data"/>
  </cacheSource>
  <cacheFields count="13">
    <cacheField name="Order_ID" numFmtId="0">
      <sharedItems containsSemiMixedTypes="0" containsString="0" containsNumber="1" containsInteger="1" minValue="1001" maxValue="1030"/>
    </cacheField>
    <cacheField name="Customer_ID" numFmtId="0">
      <sharedItems containsSemiMixedTypes="0" containsString="0" containsNumber="1" containsInteger="1" minValue="501" maxValue="510"/>
    </cacheField>
    <cacheField name="Order_Date" numFmtId="0">
      <sharedItems/>
    </cacheField>
    <cacheField name="Product_ID" numFmtId="0">
      <sharedItems containsSemiMixedTypes="0" containsString="0" containsNumber="1" containsInteger="1" minValue="101" maxValue="130"/>
    </cacheField>
    <cacheField name="Product_Name" numFmtId="0">
      <sharedItems count="29">
        <s v="Wireless Mouse"/>
        <s v="Mechanical Keyboard"/>
        <s v="Notebook Set"/>
        <s v="Office Chair"/>
        <s v="USB-C Cable"/>
        <s v="Desk Lamp"/>
        <s v="Water Bottle"/>
        <s v="Yoga Mat"/>
        <s v="Laptop Stand"/>
        <s v="Coffee Mug Set"/>
        <s v="Bluetooth Speaker"/>
        <s v="Pen Set"/>
        <s v="Backpack"/>
        <s v="Table Fan"/>
        <s v="Storage Box"/>
        <s v="Running Shoes"/>
        <s v="Monitor"/>
        <s v="Desk Organizer"/>
        <s v="Headphones"/>
        <s v="Cushion  Set"/>
        <s v="Power Bank"/>
        <s v="Sticky Notes"/>
        <s v="Office Desk"/>
        <s v="Fitness Band"/>
        <s v="Phone Stand"/>
        <s v="Air Fryer"/>
        <s v="Keyboard"/>
        <s v="File Folder Set"/>
        <s v="Travel Bottle"/>
      </sharedItems>
    </cacheField>
    <cacheField name="Category" numFmtId="0">
      <sharedItems count="6">
        <s v="Electronics"/>
        <s v="Stationery"/>
        <s v="Furniture"/>
        <s v="Home"/>
        <s v="Fitness"/>
        <s v="Fashion"/>
      </sharedItems>
    </cacheField>
    <cacheField name="Quantity" numFmtId="0">
      <sharedItems containsSemiMixedTypes="0" containsString="0" containsNumber="1" containsInteger="1" minValue="1" maxValue="6"/>
    </cacheField>
    <cacheField name="Unit_Price" numFmtId="0">
      <sharedItems containsString="0" containsBlank="1" containsNumber="1" containsInteger="1" minValue="120" maxValue="12500"/>
    </cacheField>
    <cacheField name="city clean" numFmtId="0">
      <sharedItems count="5">
        <s v="Pune"/>
        <s v="Mumbai"/>
        <s v="Nashik"/>
        <s v="Nagpur"/>
        <s v="Bengaluru"/>
      </sharedItems>
    </cacheField>
    <cacheField name="City" numFmtId="0">
      <sharedItems/>
    </cacheField>
    <cacheField name="Order_Status" numFmtId="0">
      <sharedItems count="4">
        <s v="Delivered"/>
        <s v="Shipped"/>
        <s v="Pending"/>
        <s v="Cancelled"/>
      </sharedItems>
    </cacheField>
    <cacheField name="Revenue" numFmtId="0">
      <sharedItems containsSemiMixedTypes="0" containsString="0" containsNumber="1" containsInteger="1" minValue="0" maxValue="12500"/>
    </cacheField>
    <cacheField name="Average Order Value" numFmtId="0">
      <sharedItems containsString="0" containsBlank="1" containsNumber="1" minValue="2862.3333333333335" maxValue="2862.33333333333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001"/>
    <n v="501"/>
    <s v="2026-01-03"/>
    <n v="101"/>
    <x v="0"/>
    <x v="0"/>
    <n v="2"/>
    <n v="650"/>
    <x v="0"/>
    <s v="Pune"/>
    <x v="0"/>
    <n v="1300"/>
    <n v="2862.3333333333335"/>
  </r>
  <r>
    <n v="1002"/>
    <n v="502"/>
    <s v="2026-01-05"/>
    <n v="102"/>
    <x v="1"/>
    <x v="0"/>
    <n v="1"/>
    <n v="1800"/>
    <x v="1"/>
    <s v="Mumbai"/>
    <x v="0"/>
    <n v="1800"/>
    <m/>
  </r>
  <r>
    <n v="1003"/>
    <n v="503"/>
    <s v="2026-01-08"/>
    <n v="103"/>
    <x v="2"/>
    <x v="1"/>
    <n v="3"/>
    <n v="250"/>
    <x v="0"/>
    <s v="Pune"/>
    <x v="0"/>
    <n v="750"/>
    <m/>
  </r>
  <r>
    <n v="1004"/>
    <n v="504"/>
    <s v="2026-01-12"/>
    <n v="104"/>
    <x v="3"/>
    <x v="2"/>
    <n v="1"/>
    <n v="5500"/>
    <x v="2"/>
    <s v="Nashik"/>
    <x v="1"/>
    <n v="5500"/>
    <m/>
  </r>
  <r>
    <n v="1005"/>
    <n v="505"/>
    <s v="2026-01-15"/>
    <n v="105"/>
    <x v="4"/>
    <x v="0"/>
    <n v="4"/>
    <n v="400"/>
    <x v="1"/>
    <s v="Mumbai"/>
    <x v="0"/>
    <n v="1600"/>
    <m/>
  </r>
  <r>
    <n v="1006"/>
    <n v="501"/>
    <s v="2026-01-18"/>
    <n v="106"/>
    <x v="5"/>
    <x v="2"/>
    <n v="2"/>
    <n v="1200"/>
    <x v="0"/>
    <s v="Pune"/>
    <x v="2"/>
    <n v="2400"/>
    <m/>
  </r>
  <r>
    <n v="1007"/>
    <n v="506"/>
    <s v="2026-01-20"/>
    <n v="107"/>
    <x v="6"/>
    <x v="3"/>
    <n v="2"/>
    <n v="700"/>
    <x v="3"/>
    <s v="Nagpur"/>
    <x v="0"/>
    <n v="1400"/>
    <m/>
  </r>
  <r>
    <n v="1008"/>
    <n v="507"/>
    <s v="2026-01-22"/>
    <n v="108"/>
    <x v="7"/>
    <x v="4"/>
    <n v="1"/>
    <n v="1400"/>
    <x v="0"/>
    <s v="Pune "/>
    <x v="0"/>
    <n v="1400"/>
    <m/>
  </r>
  <r>
    <n v="1009"/>
    <n v="508"/>
    <s v="2026-01-25"/>
    <n v="109"/>
    <x v="8"/>
    <x v="0"/>
    <n v="2"/>
    <n v="1600"/>
    <x v="4"/>
    <s v="Bengaluru"/>
    <x v="1"/>
    <n v="3200"/>
    <m/>
  </r>
  <r>
    <n v="1010"/>
    <n v="509"/>
    <s v="2026-01-28"/>
    <n v="110"/>
    <x v="9"/>
    <x v="3"/>
    <n v="3"/>
    <n v="500"/>
    <x v="1"/>
    <s v="Mumbai"/>
    <x v="0"/>
    <n v="1500"/>
    <m/>
  </r>
  <r>
    <n v="1011"/>
    <n v="510"/>
    <s v="2026-02-02"/>
    <n v="111"/>
    <x v="10"/>
    <x v="0"/>
    <n v="1"/>
    <n v="2200"/>
    <x v="0"/>
    <s v="Pune"/>
    <x v="0"/>
    <n v="2200"/>
    <m/>
  </r>
  <r>
    <n v="1012"/>
    <n v="502"/>
    <s v="2026-02-04"/>
    <n v="112"/>
    <x v="11"/>
    <x v="1"/>
    <n v="5"/>
    <n v="180"/>
    <x v="1"/>
    <s v="Mumbai"/>
    <x v="0"/>
    <n v="900"/>
    <m/>
  </r>
  <r>
    <n v="1013"/>
    <n v="503"/>
    <s v="2026-02-07"/>
    <n v="113"/>
    <x v="12"/>
    <x v="5"/>
    <n v="1"/>
    <n v="2100"/>
    <x v="0"/>
    <s v="Pune"/>
    <x v="3"/>
    <n v="2100"/>
    <m/>
  </r>
  <r>
    <n v="1014"/>
    <n v="504"/>
    <s v="2026-02-10"/>
    <n v="114"/>
    <x v="13"/>
    <x v="0"/>
    <n v="2"/>
    <n v="1900"/>
    <x v="2"/>
    <s v="Nashik"/>
    <x v="0"/>
    <n v="3800"/>
    <m/>
  </r>
  <r>
    <n v="1015"/>
    <n v="505"/>
    <s v="2026-02-12"/>
    <n v="115"/>
    <x v="14"/>
    <x v="3"/>
    <n v="4"/>
    <n v="450"/>
    <x v="1"/>
    <s v="Mumbai"/>
    <x v="2"/>
    <n v="1800"/>
    <m/>
  </r>
  <r>
    <n v="1016"/>
    <n v="506"/>
    <s v="2026-02-15"/>
    <n v="116"/>
    <x v="15"/>
    <x v="4"/>
    <n v="1"/>
    <n v="3200"/>
    <x v="3"/>
    <s v="Nagpur"/>
    <x v="0"/>
    <n v="3200"/>
    <m/>
  </r>
  <r>
    <n v="1017"/>
    <n v="507"/>
    <s v="2026-02-18"/>
    <n v="117"/>
    <x v="16"/>
    <x v="0"/>
    <n v="1"/>
    <n v="12500"/>
    <x v="0"/>
    <s v="Pune"/>
    <x v="0"/>
    <n v="12500"/>
    <m/>
  </r>
  <r>
    <n v="1018"/>
    <n v="508"/>
    <s v="2026-02-21"/>
    <n v="118"/>
    <x v="17"/>
    <x v="1"/>
    <n v="2"/>
    <n v="350"/>
    <x v="0"/>
    <s v="Pune"/>
    <x v="0"/>
    <n v="700"/>
    <m/>
  </r>
  <r>
    <n v="1019"/>
    <n v="509"/>
    <s v="2026-02-24"/>
    <n v="119"/>
    <x v="18"/>
    <x v="0"/>
    <n v="2"/>
    <n v="2800"/>
    <x v="4"/>
    <s v="Bengaluru"/>
    <x v="1"/>
    <n v="5600"/>
    <m/>
  </r>
  <r>
    <n v="1020"/>
    <n v="510"/>
    <s v="2026-02-27"/>
    <n v="120"/>
    <x v="19"/>
    <x v="3"/>
    <n v="2"/>
    <n v="900"/>
    <x v="1"/>
    <s v="Mumbai"/>
    <x v="0"/>
    <n v="1800"/>
    <m/>
  </r>
  <r>
    <n v="1021"/>
    <n v="501"/>
    <s v="2026-03-02"/>
    <n v="121"/>
    <x v="20"/>
    <x v="0"/>
    <n v="1"/>
    <n v="2400"/>
    <x v="0"/>
    <s v="Pune"/>
    <x v="0"/>
    <n v="2400"/>
    <m/>
  </r>
  <r>
    <n v="1022"/>
    <n v="502"/>
    <s v="2026-03-05"/>
    <n v="122"/>
    <x v="21"/>
    <x v="1"/>
    <n v="6"/>
    <n v="120"/>
    <x v="1"/>
    <s v="Mumbai"/>
    <x v="0"/>
    <n v="720"/>
    <m/>
  </r>
  <r>
    <n v="1023"/>
    <n v="503"/>
    <s v="2026-03-08"/>
    <n v="123"/>
    <x v="22"/>
    <x v="2"/>
    <n v="1"/>
    <n v="7200"/>
    <x v="0"/>
    <s v="Pune"/>
    <x v="1"/>
    <n v="7200"/>
    <m/>
  </r>
  <r>
    <n v="1024"/>
    <n v="504"/>
    <s v="2026-03-11"/>
    <n v="124"/>
    <x v="23"/>
    <x v="4"/>
    <n v="1"/>
    <n v="3500"/>
    <x v="2"/>
    <s v="Nashik"/>
    <x v="0"/>
    <n v="3500"/>
    <m/>
  </r>
  <r>
    <n v="1025"/>
    <n v="505"/>
    <s v="2026-03-14"/>
    <n v="125"/>
    <x v="24"/>
    <x v="0"/>
    <n v="3"/>
    <m/>
    <x v="1"/>
    <s v="Mumbai"/>
    <x v="0"/>
    <n v="0"/>
    <m/>
  </r>
  <r>
    <n v="1026"/>
    <n v="506"/>
    <s v="2026-03-17"/>
    <n v="126"/>
    <x v="25"/>
    <x v="3"/>
    <n v="1"/>
    <n v="6800"/>
    <x v="3"/>
    <s v="Nagpur"/>
    <x v="0"/>
    <n v="6800"/>
    <m/>
  </r>
  <r>
    <n v="1027"/>
    <n v="507"/>
    <s v="2026-03-20"/>
    <n v="127"/>
    <x v="26"/>
    <x v="0"/>
    <n v="1"/>
    <n v="1800"/>
    <x v="0"/>
    <s v="Pune"/>
    <x v="2"/>
    <n v="1800"/>
    <m/>
  </r>
  <r>
    <n v="1028"/>
    <n v="508"/>
    <s v="2026-03-23"/>
    <n v="128"/>
    <x v="27"/>
    <x v="1"/>
    <n v="4"/>
    <n v="300"/>
    <x v="0"/>
    <s v="Pune"/>
    <x v="0"/>
    <n v="1200"/>
    <m/>
  </r>
  <r>
    <n v="1029"/>
    <n v="509"/>
    <s v="2026-03-26"/>
    <n v="129"/>
    <x v="3"/>
    <x v="2"/>
    <n v="1"/>
    <n v="5500"/>
    <x v="4"/>
    <s v="Bengaluru "/>
    <x v="0"/>
    <n v="5500"/>
    <m/>
  </r>
  <r>
    <n v="1030"/>
    <n v="510"/>
    <s v="2026-03-29"/>
    <n v="130"/>
    <x v="28"/>
    <x v="3"/>
    <n v="2"/>
    <n v="650"/>
    <x v="1"/>
    <s v="Mumbai"/>
    <x v="0"/>
    <n v="130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CF766C-FA12-4B0A-8BBC-01DB992A4BD8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B3:C10" firstHeaderRow="1" firstDataRow="1" firstDataCol="1"/>
  <pivotFields count="13">
    <pivotField showAll="0"/>
    <pivotField showAll="0"/>
    <pivotField showAll="0"/>
    <pivotField showAll="0"/>
    <pivotField showAll="0"/>
    <pivotField axis="axisRow" showAll="0">
      <items count="7">
        <item x="0"/>
        <item x="5"/>
        <item x="4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Revenue" fld="11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610644-3149-482F-9637-19899CCF399B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B3:C33" firstHeaderRow="1" firstDataRow="1" firstDataCol="1"/>
  <pivotFields count="13">
    <pivotField showAll="0"/>
    <pivotField showAll="0"/>
    <pivotField showAll="0"/>
    <pivotField showAll="0"/>
    <pivotField axis="axisRow" showAll="0" sortType="descending">
      <items count="30">
        <item x="25"/>
        <item x="12"/>
        <item x="10"/>
        <item x="9"/>
        <item x="19"/>
        <item x="5"/>
        <item x="17"/>
        <item x="27"/>
        <item x="23"/>
        <item x="18"/>
        <item x="26"/>
        <item x="8"/>
        <item x="1"/>
        <item x="16"/>
        <item x="2"/>
        <item x="3"/>
        <item x="22"/>
        <item x="11"/>
        <item x="24"/>
        <item x="20"/>
        <item x="15"/>
        <item x="21"/>
        <item x="14"/>
        <item x="13"/>
        <item x="28"/>
        <item x="4"/>
        <item x="6"/>
        <item x="0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4"/>
  </rowFields>
  <rowItems count="30">
    <i>
      <x v="13"/>
    </i>
    <i>
      <x v="15"/>
    </i>
    <i>
      <x v="16"/>
    </i>
    <i>
      <x/>
    </i>
    <i>
      <x v="9"/>
    </i>
    <i>
      <x v="23"/>
    </i>
    <i>
      <x v="8"/>
    </i>
    <i>
      <x v="20"/>
    </i>
    <i>
      <x v="11"/>
    </i>
    <i>
      <x v="19"/>
    </i>
    <i>
      <x v="5"/>
    </i>
    <i>
      <x v="2"/>
    </i>
    <i>
      <x v="1"/>
    </i>
    <i>
      <x v="22"/>
    </i>
    <i>
      <x v="4"/>
    </i>
    <i>
      <x v="10"/>
    </i>
    <i>
      <x v="12"/>
    </i>
    <i>
      <x v="25"/>
    </i>
    <i>
      <x v="3"/>
    </i>
    <i>
      <x v="26"/>
    </i>
    <i>
      <x v="28"/>
    </i>
    <i>
      <x v="24"/>
    </i>
    <i>
      <x v="27"/>
    </i>
    <i>
      <x v="7"/>
    </i>
    <i>
      <x v="17"/>
    </i>
    <i>
      <x v="14"/>
    </i>
    <i>
      <x v="21"/>
    </i>
    <i>
      <x v="6"/>
    </i>
    <i>
      <x v="18"/>
    </i>
    <i t="grand">
      <x/>
    </i>
  </rowItems>
  <colItems count="1">
    <i/>
  </colItems>
  <dataFields count="1">
    <dataField name="Sum of Revenue" fld="11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AE5F0E-7A3E-4F3D-8307-0DFBE8DEBE68}" name="PivotTable1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B3:C8" firstHeaderRow="1" firstDataRow="1" firstDataCol="1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2"/>
        <item x="1"/>
        <item t="default"/>
      </items>
    </pivotField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Order_ID" fld="0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7A8882-CE69-481B-B9DB-388A44C9FA4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B3:C9" firstHeaderRow="1" firstDataRow="1" firstDataCol="1"/>
  <pivotFields count="1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4"/>
        <item x="1"/>
        <item x="3"/>
        <item x="2"/>
        <item x="0"/>
        <item t="default"/>
      </items>
    </pivotField>
    <pivotField showAll="0"/>
    <pivotField showAll="0"/>
    <pivotField dataField="1"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venue" fld="11" baseField="0" baseItem="0"/>
  </dataFields>
  <chartFormats count="1"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991E04-50ED-4F11-A292-E2AEB70911E5}" name="Table1" displayName="Table1" ref="G7:H13" totalsRowShown="0" headerRowDxfId="43" dataDxfId="42">
  <autoFilter ref="G7:H13" xr:uid="{AC991E04-50ED-4F11-A292-E2AEB70911E5}"/>
  <tableColumns count="2">
    <tableColumn id="1" xr3:uid="{CBDA0D11-1B88-48DC-85AE-7FA3D0650584}" name="Category" dataDxfId="41"/>
    <tableColumn id="2" xr3:uid="{0CA30AF2-7BD6-48BA-AAB0-580DCBE1BE27}" name="Revenue" dataDxfId="4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B3BA03-61D4-4FBE-9582-756CBE8ED856}" name="Table2" displayName="Table2" ref="K7:L12" totalsRowShown="0" headerRowDxfId="39" dataDxfId="38">
  <autoFilter ref="K7:L12" xr:uid="{59B3BA03-61D4-4FBE-9582-756CBE8ED856}"/>
  <tableColumns count="2">
    <tableColumn id="1" xr3:uid="{C9F011A8-C520-4910-BFB8-845BE5844E93}" name="City" dataDxfId="37"/>
    <tableColumn id="2" xr3:uid="{A5A5723A-EFEB-410F-9793-0FF21203B147}" name="Revenue" dataDxfId="36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5B598B-1622-420D-B17F-2C176EBF7C50}" name="Table3" displayName="Table3" ref="N7:O11" totalsRowShown="0" headerRowDxfId="35" dataDxfId="34">
  <autoFilter ref="N7:O11" xr:uid="{B15B598B-1622-420D-B17F-2C176EBF7C50}"/>
  <tableColumns count="2">
    <tableColumn id="1" xr3:uid="{01A553B8-D0AB-4F39-9394-CD34DEAB3EC0}" name="Order_Status" dataDxfId="33"/>
    <tableColumn id="2" xr3:uid="{4D576196-9F22-42D3-BD2F-83DDB9023C5C}" name="Total_Orders" dataDxfId="3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8488262-D460-41FB-A1D3-E223B4F2863E}" name="Table4" displayName="Table4" ref="H18:I24" totalsRowShown="0" headerRowDxfId="31" dataDxfId="30">
  <autoFilter ref="H18:I24" xr:uid="{08488262-D460-41FB-A1D3-E223B4F2863E}"/>
  <tableColumns count="2">
    <tableColumn id="1" xr3:uid="{171FC075-8898-40CB-A79D-4ADD8151E557}" name="City" dataDxfId="29"/>
    <tableColumn id="2" xr3:uid="{DB0BF99B-FD1C-4ED2-88AF-8CE85B68078D}" name="Total Orders" dataDxfId="2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DFE0CE-01A9-4FEC-914A-2CCB0DF7E60D}" name="Table5" displayName="Table5" ref="K18:L46" totalsRowShown="0" headerRowDxfId="27" dataDxfId="26">
  <autoFilter ref="K18:L46" xr:uid="{3ADFE0CE-01A9-4FEC-914A-2CCB0DF7E60D}"/>
  <tableColumns count="2">
    <tableColumn id="1" xr3:uid="{0CD5A573-954C-466B-981F-F866355501D8}" name="Product " dataDxfId="25"/>
    <tableColumn id="2" xr3:uid="{01C45D3A-FD8D-4982-B386-15E9E1B96593}" name="Quantity" dataDxfId="2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DB254B-B79F-45C9-BD20-9E3BB3D16372}" name="Table6" displayName="Table6" ref="N18:O24" totalsRowShown="0" headerRowDxfId="23" dataDxfId="22">
  <autoFilter ref="N18:O24" xr:uid="{13DB254B-B79F-45C9-BD20-9E3BB3D16372}"/>
  <tableColumns count="2">
    <tableColumn id="1" xr3:uid="{0CA8596C-07A3-46CA-A512-E8B550201FD4}" name="Category" dataDxfId="21"/>
    <tableColumn id="2" xr3:uid="{566B880D-50D6-47D7-8943-26E5468CC849}" name="Total Quantity Sold" dataDxfId="20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B0AD431-B0FC-4323-9FFB-3C79D59A5797}" name="Table7" displayName="Table7" ref="R7:V13" totalsRowShown="0" headerRowDxfId="19" dataDxfId="18">
  <autoFilter ref="R7:V13" xr:uid="{EB0AD431-B0FC-4323-9FFB-3C79D59A5797}"/>
  <tableColumns count="5">
    <tableColumn id="1" xr3:uid="{7C8E7C3A-A5F1-4594-B32C-5E14AA8F9ED2}" name="Order_ID" dataDxfId="17"/>
    <tableColumn id="2" xr3:uid="{FEA78423-B0E1-491B-871D-C57B1299519A}" name="Product_Name" dataDxfId="16"/>
    <tableColumn id="3" xr3:uid="{EDC03072-BCD2-41D6-8C4B-B34428CAE814}" name="Quantity" dataDxfId="15"/>
    <tableColumn id="4" xr3:uid="{ECBCD33C-9CCD-4728-8CC6-FEE06D85CB8C}" name="Unit_Price" dataDxfId="14"/>
    <tableColumn id="5" xr3:uid="{98452F5F-4A83-4A69-970F-01532DDFE43A}" name="Order_Revenue" dataDxfId="13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88235ED-7652-440A-93A2-272394ADD0C4}" name="Table8" displayName="Table8" ref="R18:V25" totalsRowShown="0" headerRowDxfId="12" dataDxfId="11">
  <autoFilter ref="R18:V25" xr:uid="{788235ED-7652-440A-93A2-272394ADD0C4}"/>
  <tableColumns count="5">
    <tableColumn id="1" xr3:uid="{37BAF8CD-EC53-49D8-AA63-A5C465A2C56E}" name="Order_ID" dataDxfId="10"/>
    <tableColumn id="2" xr3:uid="{D3DFA4DB-E707-43EA-ACCE-4516BC6D432D}" name="Product_Name" dataDxfId="9"/>
    <tableColumn id="3" xr3:uid="{1A151707-B43D-4CB4-AA9A-EF2A966AA64D}" name="Quantity" dataDxfId="8"/>
    <tableColumn id="4" xr3:uid="{5BC37C2F-CA1E-4A3A-9854-C771306C6B9E}" name="Unit_Price" dataDxfId="7"/>
    <tableColumn id="5" xr3:uid="{7B1AA734-CB7A-48D6-AEAE-E96DFF802646}" name="Order_Revenue" dataDxfId="6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C5BC460-2E22-4564-A603-C58CD45900AF}" name="Table9" displayName="Table9" ref="X7:Y13" totalsRowShown="0" headerRowDxfId="5">
  <autoFilter ref="X7:Y13" xr:uid="{3C5BC460-2E22-4564-A603-C58CD45900AF}"/>
  <tableColumns count="2">
    <tableColumn id="1" xr3:uid="{D9E096EB-38E7-4EF5-A4B5-DDBF889B5CAE}" name="Category" dataDxfId="4"/>
    <tableColumn id="2" xr3:uid="{1A8870C5-2DB6-412E-BCCB-56989D29C9C1}" name="Average Unit Price" dataDxfId="3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49B89BC5-7F6D-4A9B-AD31-18442E3CEBA4}" name="Table10" displayName="Table10" ref="A5:C8" totalsRowShown="0" headerRowDxfId="2">
  <autoFilter ref="A5:C8" xr:uid="{49B89BC5-7F6D-4A9B-AD31-18442E3CEBA4}"/>
  <tableColumns count="3">
    <tableColumn id="1" xr3:uid="{F656D28B-7BF8-4E07-895F-EB3BDB9A2EA0}" name="Question" dataDxfId="1"/>
    <tableColumn id="2" xr3:uid="{7941B689-5374-4637-9F58-FBB4D03B6954}" name="Result"/>
    <tableColumn id="3" xr3:uid="{C05F101D-AE51-4023-91A8-01A1833EE343}" name="SQL Query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opLeftCell="Y2" workbookViewId="0">
      <selection activeCell="M17" sqref="M17"/>
    </sheetView>
  </sheetViews>
  <sheetFormatPr defaultRowHeight="14.5" x14ac:dyDescent="0.35"/>
  <cols>
    <col min="1" max="1" width="13.08984375" bestFit="1" customWidth="1"/>
    <col min="2" max="2" width="11.81640625" bestFit="1" customWidth="1"/>
    <col min="3" max="3" width="15.26953125" bestFit="1" customWidth="1"/>
    <col min="4" max="4" width="10.26953125" bestFit="1" customWidth="1"/>
    <col min="5" max="5" width="18.81640625" bestFit="1" customWidth="1"/>
    <col min="6" max="6" width="12.81640625" bestFit="1" customWidth="1"/>
    <col min="7" max="7" width="12.7265625" bestFit="1" customWidth="1"/>
    <col min="8" max="8" width="14" bestFit="1" customWidth="1"/>
    <col min="9" max="9" width="9.7265625" bestFit="1" customWidth="1"/>
    <col min="10" max="10" width="16.542968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>
        <v>1001</v>
      </c>
      <c r="B2">
        <v>501</v>
      </c>
      <c r="C2" t="s">
        <v>10</v>
      </c>
      <c r="D2">
        <v>101</v>
      </c>
      <c r="E2" t="s">
        <v>40</v>
      </c>
      <c r="F2" t="s">
        <v>69</v>
      </c>
      <c r="G2">
        <v>2</v>
      </c>
      <c r="H2">
        <v>650</v>
      </c>
      <c r="I2" t="s">
        <v>75</v>
      </c>
      <c r="J2" t="s">
        <v>82</v>
      </c>
    </row>
    <row r="3" spans="1:10" x14ac:dyDescent="0.35">
      <c r="A3">
        <v>1002</v>
      </c>
      <c r="B3">
        <v>502</v>
      </c>
      <c r="C3" t="s">
        <v>11</v>
      </c>
      <c r="D3">
        <v>102</v>
      </c>
      <c r="E3" t="s">
        <v>41</v>
      </c>
      <c r="F3" t="s">
        <v>69</v>
      </c>
      <c r="G3">
        <v>1</v>
      </c>
      <c r="H3">
        <v>1800</v>
      </c>
      <c r="I3" t="s">
        <v>76</v>
      </c>
      <c r="J3" t="s">
        <v>82</v>
      </c>
    </row>
    <row r="4" spans="1:10" x14ac:dyDescent="0.35">
      <c r="A4">
        <v>1003</v>
      </c>
      <c r="B4">
        <v>503</v>
      </c>
      <c r="C4" t="s">
        <v>12</v>
      </c>
      <c r="D4">
        <v>103</v>
      </c>
      <c r="E4" t="s">
        <v>42</v>
      </c>
      <c r="F4" t="s">
        <v>70</v>
      </c>
      <c r="G4">
        <v>3</v>
      </c>
      <c r="H4">
        <v>250</v>
      </c>
      <c r="I4" t="s">
        <v>75</v>
      </c>
      <c r="J4" t="s">
        <v>82</v>
      </c>
    </row>
    <row r="5" spans="1:10" x14ac:dyDescent="0.35">
      <c r="A5">
        <v>1004</v>
      </c>
      <c r="B5">
        <v>504</v>
      </c>
      <c r="C5" t="s">
        <v>13</v>
      </c>
      <c r="D5">
        <v>104</v>
      </c>
      <c r="E5" t="s">
        <v>43</v>
      </c>
      <c r="F5" t="s">
        <v>71</v>
      </c>
      <c r="G5">
        <v>1</v>
      </c>
      <c r="H5">
        <v>5500</v>
      </c>
      <c r="I5" t="s">
        <v>77</v>
      </c>
      <c r="J5" t="s">
        <v>83</v>
      </c>
    </row>
    <row r="6" spans="1:10" x14ac:dyDescent="0.35">
      <c r="A6">
        <v>1005</v>
      </c>
      <c r="B6">
        <v>505</v>
      </c>
      <c r="C6" t="s">
        <v>14</v>
      </c>
      <c r="D6">
        <v>105</v>
      </c>
      <c r="E6" t="s">
        <v>44</v>
      </c>
      <c r="F6" t="s">
        <v>69</v>
      </c>
      <c r="G6">
        <v>4</v>
      </c>
      <c r="H6">
        <v>400</v>
      </c>
      <c r="I6" t="s">
        <v>76</v>
      </c>
      <c r="J6" t="s">
        <v>82</v>
      </c>
    </row>
    <row r="7" spans="1:10" x14ac:dyDescent="0.35">
      <c r="A7">
        <v>1006</v>
      </c>
      <c r="B7">
        <v>501</v>
      </c>
      <c r="C7" t="s">
        <v>15</v>
      </c>
      <c r="D7">
        <v>106</v>
      </c>
      <c r="E7" t="s">
        <v>45</v>
      </c>
      <c r="F7" t="s">
        <v>71</v>
      </c>
      <c r="G7">
        <v>2</v>
      </c>
      <c r="H7">
        <v>1200</v>
      </c>
      <c r="I7" t="s">
        <v>75</v>
      </c>
      <c r="J7" t="s">
        <v>84</v>
      </c>
    </row>
    <row r="8" spans="1:10" x14ac:dyDescent="0.35">
      <c r="A8">
        <v>1007</v>
      </c>
      <c r="B8">
        <v>506</v>
      </c>
      <c r="C8" t="s">
        <v>16</v>
      </c>
      <c r="D8">
        <v>107</v>
      </c>
      <c r="E8" t="s">
        <v>46</v>
      </c>
      <c r="F8" t="s">
        <v>72</v>
      </c>
      <c r="G8">
        <v>2</v>
      </c>
      <c r="H8">
        <v>700</v>
      </c>
      <c r="I8" t="s">
        <v>78</v>
      </c>
      <c r="J8" t="s">
        <v>82</v>
      </c>
    </row>
    <row r="9" spans="1:10" x14ac:dyDescent="0.35">
      <c r="A9">
        <v>1008</v>
      </c>
      <c r="B9">
        <v>507</v>
      </c>
      <c r="C9" t="s">
        <v>17</v>
      </c>
      <c r="D9">
        <v>108</v>
      </c>
      <c r="E9" t="s">
        <v>47</v>
      </c>
      <c r="F9" t="s">
        <v>73</v>
      </c>
      <c r="G9">
        <v>1</v>
      </c>
      <c r="H9">
        <v>1400</v>
      </c>
      <c r="I9" t="s">
        <v>79</v>
      </c>
      <c r="J9" t="s">
        <v>82</v>
      </c>
    </row>
    <row r="10" spans="1:10" x14ac:dyDescent="0.35">
      <c r="A10">
        <v>1009</v>
      </c>
      <c r="B10">
        <v>508</v>
      </c>
      <c r="C10" t="s">
        <v>18</v>
      </c>
      <c r="D10">
        <v>109</v>
      </c>
      <c r="E10" t="s">
        <v>48</v>
      </c>
      <c r="F10" t="s">
        <v>69</v>
      </c>
      <c r="G10">
        <v>2</v>
      </c>
      <c r="H10">
        <v>1600</v>
      </c>
      <c r="I10" t="s">
        <v>80</v>
      </c>
      <c r="J10" t="s">
        <v>83</v>
      </c>
    </row>
    <row r="11" spans="1:10" x14ac:dyDescent="0.35">
      <c r="A11">
        <v>1010</v>
      </c>
      <c r="B11">
        <v>509</v>
      </c>
      <c r="C11" t="s">
        <v>19</v>
      </c>
      <c r="D11">
        <v>110</v>
      </c>
      <c r="E11" t="s">
        <v>49</v>
      </c>
      <c r="F11" t="s">
        <v>72</v>
      </c>
      <c r="G11">
        <v>3</v>
      </c>
      <c r="H11">
        <v>500</v>
      </c>
      <c r="I11" t="s">
        <v>76</v>
      </c>
      <c r="J11" t="s">
        <v>82</v>
      </c>
    </row>
    <row r="12" spans="1:10" x14ac:dyDescent="0.35">
      <c r="A12">
        <v>1011</v>
      </c>
      <c r="B12">
        <v>510</v>
      </c>
      <c r="C12" t="s">
        <v>20</v>
      </c>
      <c r="D12">
        <v>111</v>
      </c>
      <c r="E12" t="s">
        <v>50</v>
      </c>
      <c r="F12" t="s">
        <v>69</v>
      </c>
      <c r="G12">
        <v>1</v>
      </c>
      <c r="H12">
        <v>2200</v>
      </c>
      <c r="I12" t="s">
        <v>75</v>
      </c>
      <c r="J12" t="s">
        <v>82</v>
      </c>
    </row>
    <row r="13" spans="1:10" x14ac:dyDescent="0.35">
      <c r="A13">
        <v>1012</v>
      </c>
      <c r="B13">
        <v>502</v>
      </c>
      <c r="C13" t="s">
        <v>21</v>
      </c>
      <c r="D13">
        <v>112</v>
      </c>
      <c r="E13" t="s">
        <v>51</v>
      </c>
      <c r="F13" t="s">
        <v>70</v>
      </c>
      <c r="G13">
        <v>5</v>
      </c>
      <c r="H13">
        <v>180</v>
      </c>
      <c r="I13" t="s">
        <v>76</v>
      </c>
      <c r="J13" t="s">
        <v>82</v>
      </c>
    </row>
    <row r="14" spans="1:10" x14ac:dyDescent="0.35">
      <c r="A14">
        <v>1013</v>
      </c>
      <c r="B14">
        <v>503</v>
      </c>
      <c r="C14" t="s">
        <v>22</v>
      </c>
      <c r="D14">
        <v>113</v>
      </c>
      <c r="E14" t="s">
        <v>52</v>
      </c>
      <c r="F14" t="s">
        <v>74</v>
      </c>
      <c r="G14">
        <v>1</v>
      </c>
      <c r="H14">
        <v>2100</v>
      </c>
      <c r="I14" t="s">
        <v>75</v>
      </c>
      <c r="J14" t="s">
        <v>85</v>
      </c>
    </row>
    <row r="15" spans="1:10" x14ac:dyDescent="0.35">
      <c r="A15">
        <v>1014</v>
      </c>
      <c r="B15">
        <v>504</v>
      </c>
      <c r="C15" t="s">
        <v>23</v>
      </c>
      <c r="D15">
        <v>114</v>
      </c>
      <c r="E15" t="s">
        <v>53</v>
      </c>
      <c r="F15" t="s">
        <v>69</v>
      </c>
      <c r="G15">
        <v>2</v>
      </c>
      <c r="H15">
        <v>1900</v>
      </c>
      <c r="I15" t="s">
        <v>77</v>
      </c>
      <c r="J15" t="s">
        <v>82</v>
      </c>
    </row>
    <row r="16" spans="1:10" x14ac:dyDescent="0.35">
      <c r="A16">
        <v>1015</v>
      </c>
      <c r="B16">
        <v>505</v>
      </c>
      <c r="C16" t="s">
        <v>24</v>
      </c>
      <c r="D16">
        <v>115</v>
      </c>
      <c r="E16" t="s">
        <v>54</v>
      </c>
      <c r="F16" t="s">
        <v>72</v>
      </c>
      <c r="G16">
        <v>4</v>
      </c>
      <c r="H16">
        <v>450</v>
      </c>
      <c r="I16" t="s">
        <v>76</v>
      </c>
      <c r="J16" t="s">
        <v>86</v>
      </c>
    </row>
    <row r="17" spans="1:10" x14ac:dyDescent="0.35">
      <c r="A17">
        <v>1016</v>
      </c>
      <c r="B17">
        <v>506</v>
      </c>
      <c r="C17" t="s">
        <v>25</v>
      </c>
      <c r="D17">
        <v>116</v>
      </c>
      <c r="E17" t="s">
        <v>55</v>
      </c>
      <c r="F17" t="s">
        <v>73</v>
      </c>
      <c r="G17">
        <v>1</v>
      </c>
      <c r="H17">
        <v>3200</v>
      </c>
      <c r="I17" t="s">
        <v>78</v>
      </c>
      <c r="J17" t="s">
        <v>82</v>
      </c>
    </row>
    <row r="18" spans="1:10" x14ac:dyDescent="0.35">
      <c r="A18">
        <v>1017</v>
      </c>
      <c r="B18">
        <v>507</v>
      </c>
      <c r="C18" t="s">
        <v>26</v>
      </c>
      <c r="D18">
        <v>117</v>
      </c>
      <c r="E18" t="s">
        <v>56</v>
      </c>
      <c r="F18" t="s">
        <v>69</v>
      </c>
      <c r="G18">
        <v>1</v>
      </c>
      <c r="H18">
        <v>12500</v>
      </c>
      <c r="I18" t="s">
        <v>75</v>
      </c>
      <c r="J18" t="s">
        <v>82</v>
      </c>
    </row>
    <row r="19" spans="1:10" x14ac:dyDescent="0.35">
      <c r="A19">
        <v>1018</v>
      </c>
      <c r="B19">
        <v>508</v>
      </c>
      <c r="C19" t="s">
        <v>27</v>
      </c>
      <c r="D19">
        <v>118</v>
      </c>
      <c r="E19" t="s">
        <v>57</v>
      </c>
      <c r="F19" t="s">
        <v>70</v>
      </c>
      <c r="G19">
        <v>2</v>
      </c>
      <c r="H19">
        <v>350</v>
      </c>
      <c r="I19" t="s">
        <v>75</v>
      </c>
      <c r="J19" t="s">
        <v>82</v>
      </c>
    </row>
    <row r="20" spans="1:10" x14ac:dyDescent="0.35">
      <c r="A20">
        <v>1019</v>
      </c>
      <c r="B20">
        <v>509</v>
      </c>
      <c r="C20" t="s">
        <v>28</v>
      </c>
      <c r="D20">
        <v>119</v>
      </c>
      <c r="E20" t="s">
        <v>58</v>
      </c>
      <c r="F20" t="s">
        <v>69</v>
      </c>
      <c r="G20">
        <v>2</v>
      </c>
      <c r="H20">
        <v>2800</v>
      </c>
      <c r="I20" t="s">
        <v>80</v>
      </c>
      <c r="J20" t="s">
        <v>83</v>
      </c>
    </row>
    <row r="21" spans="1:10" x14ac:dyDescent="0.35">
      <c r="A21">
        <v>1020</v>
      </c>
      <c r="B21">
        <v>510</v>
      </c>
      <c r="C21" t="s">
        <v>29</v>
      </c>
      <c r="D21">
        <v>120</v>
      </c>
      <c r="E21" t="s">
        <v>59</v>
      </c>
      <c r="F21" t="s">
        <v>72</v>
      </c>
      <c r="G21">
        <v>2</v>
      </c>
      <c r="H21">
        <v>900</v>
      </c>
      <c r="I21" t="s">
        <v>76</v>
      </c>
      <c r="J21" t="s">
        <v>82</v>
      </c>
    </row>
    <row r="22" spans="1:10" x14ac:dyDescent="0.35">
      <c r="A22">
        <v>1021</v>
      </c>
      <c r="B22">
        <v>501</v>
      </c>
      <c r="C22" t="s">
        <v>30</v>
      </c>
      <c r="D22">
        <v>121</v>
      </c>
      <c r="E22" t="s">
        <v>60</v>
      </c>
      <c r="F22" t="s">
        <v>69</v>
      </c>
      <c r="G22">
        <v>1</v>
      </c>
      <c r="H22">
        <v>2400</v>
      </c>
      <c r="I22" t="s">
        <v>75</v>
      </c>
      <c r="J22" t="s">
        <v>82</v>
      </c>
    </row>
    <row r="23" spans="1:10" x14ac:dyDescent="0.35">
      <c r="A23">
        <v>1022</v>
      </c>
      <c r="B23">
        <v>502</v>
      </c>
      <c r="C23" t="s">
        <v>31</v>
      </c>
      <c r="D23">
        <v>122</v>
      </c>
      <c r="E23" t="s">
        <v>61</v>
      </c>
      <c r="F23" t="s">
        <v>70</v>
      </c>
      <c r="G23">
        <v>6</v>
      </c>
      <c r="H23">
        <v>120</v>
      </c>
      <c r="I23" t="s">
        <v>76</v>
      </c>
      <c r="J23" t="s">
        <v>82</v>
      </c>
    </row>
    <row r="24" spans="1:10" x14ac:dyDescent="0.35">
      <c r="A24">
        <v>1023</v>
      </c>
      <c r="B24">
        <v>503</v>
      </c>
      <c r="C24" t="s">
        <v>32</v>
      </c>
      <c r="D24">
        <v>123</v>
      </c>
      <c r="E24" t="s">
        <v>62</v>
      </c>
      <c r="F24" t="s">
        <v>71</v>
      </c>
      <c r="G24">
        <v>1</v>
      </c>
      <c r="H24">
        <v>7200</v>
      </c>
      <c r="I24" t="s">
        <v>75</v>
      </c>
      <c r="J24" t="s">
        <v>83</v>
      </c>
    </row>
    <row r="25" spans="1:10" x14ac:dyDescent="0.35">
      <c r="A25">
        <v>1024</v>
      </c>
      <c r="B25">
        <v>504</v>
      </c>
      <c r="C25" t="s">
        <v>33</v>
      </c>
      <c r="D25">
        <v>124</v>
      </c>
      <c r="E25" t="s">
        <v>63</v>
      </c>
      <c r="F25" t="s">
        <v>73</v>
      </c>
      <c r="G25">
        <v>1</v>
      </c>
      <c r="H25">
        <v>3500</v>
      </c>
      <c r="I25" t="s">
        <v>77</v>
      </c>
      <c r="J25" t="s">
        <v>82</v>
      </c>
    </row>
    <row r="26" spans="1:10" x14ac:dyDescent="0.35">
      <c r="A26">
        <v>1025</v>
      </c>
      <c r="B26">
        <v>505</v>
      </c>
      <c r="C26" t="s">
        <v>34</v>
      </c>
      <c r="D26">
        <v>125</v>
      </c>
      <c r="E26" t="s">
        <v>64</v>
      </c>
      <c r="F26" t="s">
        <v>69</v>
      </c>
      <c r="G26">
        <v>3</v>
      </c>
      <c r="I26" t="s">
        <v>76</v>
      </c>
      <c r="J26" t="s">
        <v>82</v>
      </c>
    </row>
    <row r="27" spans="1:10" x14ac:dyDescent="0.35">
      <c r="A27">
        <v>1026</v>
      </c>
      <c r="B27">
        <v>506</v>
      </c>
      <c r="C27" t="s">
        <v>35</v>
      </c>
      <c r="D27">
        <v>126</v>
      </c>
      <c r="E27" t="s">
        <v>65</v>
      </c>
      <c r="F27" t="s">
        <v>72</v>
      </c>
      <c r="G27">
        <v>1</v>
      </c>
      <c r="H27">
        <v>6800</v>
      </c>
      <c r="I27" t="s">
        <v>78</v>
      </c>
      <c r="J27" t="s">
        <v>82</v>
      </c>
    </row>
    <row r="28" spans="1:10" x14ac:dyDescent="0.35">
      <c r="A28">
        <v>1027</v>
      </c>
      <c r="B28">
        <v>507</v>
      </c>
      <c r="C28" t="s">
        <v>36</v>
      </c>
      <c r="D28">
        <v>127</v>
      </c>
      <c r="E28" t="s">
        <v>66</v>
      </c>
      <c r="F28" t="s">
        <v>69</v>
      </c>
      <c r="G28">
        <v>1</v>
      </c>
      <c r="H28">
        <v>1800</v>
      </c>
      <c r="I28" t="s">
        <v>75</v>
      </c>
      <c r="J28" t="s">
        <v>84</v>
      </c>
    </row>
    <row r="29" spans="1:10" x14ac:dyDescent="0.35">
      <c r="A29">
        <v>1028</v>
      </c>
      <c r="B29">
        <v>508</v>
      </c>
      <c r="C29" t="s">
        <v>37</v>
      </c>
      <c r="D29">
        <v>128</v>
      </c>
      <c r="E29" t="s">
        <v>67</v>
      </c>
      <c r="F29" t="s">
        <v>70</v>
      </c>
      <c r="G29">
        <v>4</v>
      </c>
      <c r="H29">
        <v>300</v>
      </c>
      <c r="I29" t="s">
        <v>75</v>
      </c>
      <c r="J29" t="s">
        <v>82</v>
      </c>
    </row>
    <row r="30" spans="1:10" x14ac:dyDescent="0.35">
      <c r="A30">
        <v>1029</v>
      </c>
      <c r="B30">
        <v>509</v>
      </c>
      <c r="C30" t="s">
        <v>38</v>
      </c>
      <c r="D30">
        <v>129</v>
      </c>
      <c r="E30" t="s">
        <v>43</v>
      </c>
      <c r="F30" t="s">
        <v>71</v>
      </c>
      <c r="G30">
        <v>1</v>
      </c>
      <c r="H30">
        <v>5500</v>
      </c>
      <c r="I30" t="s">
        <v>81</v>
      </c>
      <c r="J30" t="s">
        <v>82</v>
      </c>
    </row>
    <row r="31" spans="1:10" x14ac:dyDescent="0.35">
      <c r="A31">
        <v>1030</v>
      </c>
      <c r="B31">
        <v>510</v>
      </c>
      <c r="C31" t="s">
        <v>39</v>
      </c>
      <c r="D31">
        <v>130</v>
      </c>
      <c r="E31" t="s">
        <v>68</v>
      </c>
      <c r="F31" t="s">
        <v>72</v>
      </c>
      <c r="G31">
        <v>2</v>
      </c>
      <c r="H31">
        <v>650</v>
      </c>
      <c r="I31" t="s">
        <v>76</v>
      </c>
      <c r="J31" t="s">
        <v>82</v>
      </c>
    </row>
  </sheetData>
  <autoFilter ref="A1:J3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B501-19EA-4E59-80C1-F63FFE0ADDE5}">
  <dimension ref="A1:M34"/>
  <sheetViews>
    <sheetView workbookViewId="0">
      <selection activeCell="M16" sqref="A1:M31"/>
    </sheetView>
  </sheetViews>
  <sheetFormatPr defaultRowHeight="14.5" x14ac:dyDescent="0.35"/>
  <cols>
    <col min="1" max="1" width="13.08984375" bestFit="1" customWidth="1"/>
    <col min="2" max="2" width="11.81640625" bestFit="1" customWidth="1"/>
    <col min="3" max="3" width="15.26953125" bestFit="1" customWidth="1"/>
    <col min="4" max="4" width="10.26953125" bestFit="1" customWidth="1"/>
    <col min="5" max="5" width="18.81640625" bestFit="1" customWidth="1"/>
    <col min="7" max="7" width="12.7265625" bestFit="1" customWidth="1"/>
    <col min="8" max="8" width="14" bestFit="1" customWidth="1"/>
    <col min="9" max="9" width="14" customWidth="1"/>
    <col min="10" max="10" width="9.7265625" bestFit="1" customWidth="1"/>
    <col min="11" max="11" width="12" bestFit="1" customWidth="1"/>
    <col min="13" max="13" width="18.179687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94</v>
      </c>
      <c r="J1" s="1" t="s">
        <v>8</v>
      </c>
      <c r="K1" s="1" t="s">
        <v>9</v>
      </c>
      <c r="L1" t="s">
        <v>87</v>
      </c>
      <c r="M1" t="s">
        <v>88</v>
      </c>
    </row>
    <row r="2" spans="1:13" x14ac:dyDescent="0.35">
      <c r="A2">
        <v>1001</v>
      </c>
      <c r="B2">
        <v>501</v>
      </c>
      <c r="C2" t="s">
        <v>10</v>
      </c>
      <c r="D2">
        <v>101</v>
      </c>
      <c r="E2" t="s">
        <v>40</v>
      </c>
      <c r="F2" t="s">
        <v>69</v>
      </c>
      <c r="G2">
        <v>2</v>
      </c>
      <c r="H2">
        <v>650</v>
      </c>
      <c r="I2" t="str" cm="1">
        <f t="array" ref="I2:I31">TRIM(J2:J31)</f>
        <v>Pune</v>
      </c>
      <c r="J2" t="s">
        <v>75</v>
      </c>
      <c r="K2" t="s">
        <v>82</v>
      </c>
      <c r="L2">
        <f>G2*H2</f>
        <v>1300</v>
      </c>
      <c r="M2">
        <f>L33/A34</f>
        <v>2862.3333333333335</v>
      </c>
    </row>
    <row r="3" spans="1:13" x14ac:dyDescent="0.35">
      <c r="A3">
        <v>1002</v>
      </c>
      <c r="B3">
        <v>502</v>
      </c>
      <c r="C3" t="s">
        <v>11</v>
      </c>
      <c r="D3">
        <v>102</v>
      </c>
      <c r="E3" t="s">
        <v>41</v>
      </c>
      <c r="F3" t="s">
        <v>69</v>
      </c>
      <c r="G3">
        <v>1</v>
      </c>
      <c r="H3">
        <v>1800</v>
      </c>
      <c r="I3" t="str">
        <v>Mumbai</v>
      </c>
      <c r="J3" t="s">
        <v>76</v>
      </c>
      <c r="K3" t="s">
        <v>82</v>
      </c>
      <c r="L3">
        <f t="shared" ref="L3:L31" si="0">G3*H3</f>
        <v>1800</v>
      </c>
    </row>
    <row r="4" spans="1:13" x14ac:dyDescent="0.35">
      <c r="A4">
        <v>1003</v>
      </c>
      <c r="B4">
        <v>503</v>
      </c>
      <c r="C4" t="s">
        <v>12</v>
      </c>
      <c r="D4">
        <v>103</v>
      </c>
      <c r="E4" t="s">
        <v>42</v>
      </c>
      <c r="F4" t="s">
        <v>70</v>
      </c>
      <c r="G4">
        <v>3</v>
      </c>
      <c r="H4">
        <v>250</v>
      </c>
      <c r="I4" t="str">
        <v>Pune</v>
      </c>
      <c r="J4" t="s">
        <v>75</v>
      </c>
      <c r="K4" t="s">
        <v>82</v>
      </c>
      <c r="L4">
        <f t="shared" si="0"/>
        <v>750</v>
      </c>
    </row>
    <row r="5" spans="1:13" x14ac:dyDescent="0.35">
      <c r="A5">
        <v>1004</v>
      </c>
      <c r="B5">
        <v>504</v>
      </c>
      <c r="C5" t="s">
        <v>13</v>
      </c>
      <c r="D5">
        <v>104</v>
      </c>
      <c r="E5" t="s">
        <v>43</v>
      </c>
      <c r="F5" t="s">
        <v>71</v>
      </c>
      <c r="G5">
        <v>1</v>
      </c>
      <c r="H5">
        <v>5500</v>
      </c>
      <c r="I5" t="str">
        <v>Nashik</v>
      </c>
      <c r="J5" t="s">
        <v>77</v>
      </c>
      <c r="K5" t="s">
        <v>83</v>
      </c>
      <c r="L5">
        <f t="shared" si="0"/>
        <v>5500</v>
      </c>
    </row>
    <row r="6" spans="1:13" x14ac:dyDescent="0.35">
      <c r="A6">
        <v>1005</v>
      </c>
      <c r="B6">
        <v>505</v>
      </c>
      <c r="C6" t="s">
        <v>14</v>
      </c>
      <c r="D6">
        <v>105</v>
      </c>
      <c r="E6" t="s">
        <v>44</v>
      </c>
      <c r="F6" t="s">
        <v>69</v>
      </c>
      <c r="G6">
        <v>4</v>
      </c>
      <c r="H6">
        <v>400</v>
      </c>
      <c r="I6" t="str">
        <v>Mumbai</v>
      </c>
      <c r="J6" t="s">
        <v>76</v>
      </c>
      <c r="K6" t="s">
        <v>82</v>
      </c>
      <c r="L6">
        <f t="shared" si="0"/>
        <v>1600</v>
      </c>
    </row>
    <row r="7" spans="1:13" x14ac:dyDescent="0.35">
      <c r="A7">
        <v>1006</v>
      </c>
      <c r="B7">
        <v>501</v>
      </c>
      <c r="C7" t="s">
        <v>15</v>
      </c>
      <c r="D7">
        <v>106</v>
      </c>
      <c r="E7" t="s">
        <v>45</v>
      </c>
      <c r="F7" t="s">
        <v>71</v>
      </c>
      <c r="G7">
        <v>2</v>
      </c>
      <c r="H7">
        <v>1200</v>
      </c>
      <c r="I7" t="str">
        <v>Pune</v>
      </c>
      <c r="J7" t="s">
        <v>75</v>
      </c>
      <c r="K7" t="s">
        <v>84</v>
      </c>
      <c r="L7">
        <f t="shared" si="0"/>
        <v>2400</v>
      </c>
    </row>
    <row r="8" spans="1:13" x14ac:dyDescent="0.35">
      <c r="A8">
        <v>1007</v>
      </c>
      <c r="B8">
        <v>506</v>
      </c>
      <c r="C8" t="s">
        <v>16</v>
      </c>
      <c r="D8">
        <v>107</v>
      </c>
      <c r="E8" t="s">
        <v>46</v>
      </c>
      <c r="F8" t="s">
        <v>72</v>
      </c>
      <c r="G8">
        <v>2</v>
      </c>
      <c r="H8">
        <v>700</v>
      </c>
      <c r="I8" t="str">
        <v>Nagpur</v>
      </c>
      <c r="J8" t="s">
        <v>78</v>
      </c>
      <c r="K8" t="s">
        <v>82</v>
      </c>
      <c r="L8">
        <f t="shared" si="0"/>
        <v>1400</v>
      </c>
    </row>
    <row r="9" spans="1:13" x14ac:dyDescent="0.35">
      <c r="A9">
        <v>1008</v>
      </c>
      <c r="B9">
        <v>507</v>
      </c>
      <c r="C9" t="s">
        <v>17</v>
      </c>
      <c r="D9">
        <v>108</v>
      </c>
      <c r="E9" t="s">
        <v>47</v>
      </c>
      <c r="F9" t="s">
        <v>73</v>
      </c>
      <c r="G9">
        <v>1</v>
      </c>
      <c r="H9">
        <v>1400</v>
      </c>
      <c r="I9" t="str">
        <v>Pune</v>
      </c>
      <c r="J9" t="s">
        <v>79</v>
      </c>
      <c r="K9" t="s">
        <v>82</v>
      </c>
      <c r="L9">
        <f t="shared" si="0"/>
        <v>1400</v>
      </c>
    </row>
    <row r="10" spans="1:13" x14ac:dyDescent="0.35">
      <c r="A10">
        <v>1009</v>
      </c>
      <c r="B10">
        <v>508</v>
      </c>
      <c r="C10" t="s">
        <v>18</v>
      </c>
      <c r="D10">
        <v>109</v>
      </c>
      <c r="E10" t="s">
        <v>48</v>
      </c>
      <c r="F10" t="s">
        <v>69</v>
      </c>
      <c r="G10">
        <v>2</v>
      </c>
      <c r="H10">
        <v>1600</v>
      </c>
      <c r="I10" t="str">
        <v>Bengaluru</v>
      </c>
      <c r="J10" t="s">
        <v>80</v>
      </c>
      <c r="K10" t="s">
        <v>83</v>
      </c>
      <c r="L10">
        <f t="shared" si="0"/>
        <v>3200</v>
      </c>
    </row>
    <row r="11" spans="1:13" x14ac:dyDescent="0.35">
      <c r="A11">
        <v>1010</v>
      </c>
      <c r="B11">
        <v>509</v>
      </c>
      <c r="C11" t="s">
        <v>19</v>
      </c>
      <c r="D11">
        <v>110</v>
      </c>
      <c r="E11" t="s">
        <v>49</v>
      </c>
      <c r="F11" t="s">
        <v>72</v>
      </c>
      <c r="G11">
        <v>3</v>
      </c>
      <c r="H11">
        <v>500</v>
      </c>
      <c r="I11" t="str">
        <v>Mumbai</v>
      </c>
      <c r="J11" t="s">
        <v>76</v>
      </c>
      <c r="K11" t="s">
        <v>82</v>
      </c>
      <c r="L11">
        <f t="shared" si="0"/>
        <v>1500</v>
      </c>
    </row>
    <row r="12" spans="1:13" x14ac:dyDescent="0.35">
      <c r="A12">
        <v>1011</v>
      </c>
      <c r="B12">
        <v>510</v>
      </c>
      <c r="C12" t="s">
        <v>20</v>
      </c>
      <c r="D12">
        <v>111</v>
      </c>
      <c r="E12" t="s">
        <v>50</v>
      </c>
      <c r="F12" t="s">
        <v>69</v>
      </c>
      <c r="G12">
        <v>1</v>
      </c>
      <c r="H12">
        <v>2200</v>
      </c>
      <c r="I12" t="str">
        <v>Pune</v>
      </c>
      <c r="J12" t="s">
        <v>75</v>
      </c>
      <c r="K12" t="s">
        <v>82</v>
      </c>
      <c r="L12">
        <f t="shared" si="0"/>
        <v>2200</v>
      </c>
    </row>
    <row r="13" spans="1:13" x14ac:dyDescent="0.35">
      <c r="A13">
        <v>1012</v>
      </c>
      <c r="B13">
        <v>502</v>
      </c>
      <c r="C13" t="s">
        <v>21</v>
      </c>
      <c r="D13">
        <v>112</v>
      </c>
      <c r="E13" t="s">
        <v>51</v>
      </c>
      <c r="F13" t="s">
        <v>70</v>
      </c>
      <c r="G13">
        <v>5</v>
      </c>
      <c r="H13">
        <v>180</v>
      </c>
      <c r="I13" t="str">
        <v>Mumbai</v>
      </c>
      <c r="J13" t="s">
        <v>76</v>
      </c>
      <c r="K13" t="s">
        <v>82</v>
      </c>
      <c r="L13">
        <f t="shared" si="0"/>
        <v>900</v>
      </c>
    </row>
    <row r="14" spans="1:13" x14ac:dyDescent="0.35">
      <c r="A14">
        <v>1013</v>
      </c>
      <c r="B14">
        <v>503</v>
      </c>
      <c r="C14" t="s">
        <v>22</v>
      </c>
      <c r="D14">
        <v>113</v>
      </c>
      <c r="E14" t="s">
        <v>52</v>
      </c>
      <c r="F14" t="s">
        <v>74</v>
      </c>
      <c r="G14">
        <v>1</v>
      </c>
      <c r="H14">
        <v>2100</v>
      </c>
      <c r="I14" t="str">
        <v>Pune</v>
      </c>
      <c r="J14" t="s">
        <v>75</v>
      </c>
      <c r="K14" t="s">
        <v>85</v>
      </c>
      <c r="L14">
        <f t="shared" si="0"/>
        <v>2100</v>
      </c>
    </row>
    <row r="15" spans="1:13" x14ac:dyDescent="0.35">
      <c r="A15">
        <v>1014</v>
      </c>
      <c r="B15">
        <v>504</v>
      </c>
      <c r="C15" t="s">
        <v>23</v>
      </c>
      <c r="D15">
        <v>114</v>
      </c>
      <c r="E15" t="s">
        <v>53</v>
      </c>
      <c r="F15" t="s">
        <v>69</v>
      </c>
      <c r="G15">
        <v>2</v>
      </c>
      <c r="H15">
        <v>1900</v>
      </c>
      <c r="I15" t="str">
        <v>Nashik</v>
      </c>
      <c r="J15" t="s">
        <v>77</v>
      </c>
      <c r="K15" t="s">
        <v>82</v>
      </c>
      <c r="L15">
        <f t="shared" si="0"/>
        <v>3800</v>
      </c>
    </row>
    <row r="16" spans="1:13" x14ac:dyDescent="0.35">
      <c r="A16">
        <v>1015</v>
      </c>
      <c r="B16">
        <v>505</v>
      </c>
      <c r="C16" t="s">
        <v>24</v>
      </c>
      <c r="D16">
        <v>115</v>
      </c>
      <c r="E16" t="s">
        <v>54</v>
      </c>
      <c r="F16" t="s">
        <v>72</v>
      </c>
      <c r="G16">
        <v>4</v>
      </c>
      <c r="H16">
        <v>450</v>
      </c>
      <c r="I16" t="str">
        <v>Mumbai</v>
      </c>
      <c r="J16" t="s">
        <v>76</v>
      </c>
      <c r="K16" t="s">
        <v>84</v>
      </c>
      <c r="L16">
        <f t="shared" si="0"/>
        <v>1800</v>
      </c>
    </row>
    <row r="17" spans="1:12" x14ac:dyDescent="0.35">
      <c r="A17">
        <v>1016</v>
      </c>
      <c r="B17">
        <v>506</v>
      </c>
      <c r="C17" t="s">
        <v>25</v>
      </c>
      <c r="D17">
        <v>116</v>
      </c>
      <c r="E17" t="s">
        <v>55</v>
      </c>
      <c r="F17" t="s">
        <v>73</v>
      </c>
      <c r="G17">
        <v>1</v>
      </c>
      <c r="H17">
        <v>3200</v>
      </c>
      <c r="I17" t="str">
        <v>Nagpur</v>
      </c>
      <c r="J17" t="s">
        <v>78</v>
      </c>
      <c r="K17" t="s">
        <v>82</v>
      </c>
      <c r="L17">
        <f t="shared" si="0"/>
        <v>3200</v>
      </c>
    </row>
    <row r="18" spans="1:12" x14ac:dyDescent="0.35">
      <c r="A18">
        <v>1017</v>
      </c>
      <c r="B18">
        <v>507</v>
      </c>
      <c r="C18" t="s">
        <v>26</v>
      </c>
      <c r="D18">
        <v>117</v>
      </c>
      <c r="E18" t="s">
        <v>56</v>
      </c>
      <c r="F18" t="s">
        <v>69</v>
      </c>
      <c r="G18">
        <v>1</v>
      </c>
      <c r="H18">
        <v>12500</v>
      </c>
      <c r="I18" t="str">
        <v>Pune</v>
      </c>
      <c r="J18" t="s">
        <v>75</v>
      </c>
      <c r="K18" t="s">
        <v>82</v>
      </c>
      <c r="L18">
        <f t="shared" si="0"/>
        <v>12500</v>
      </c>
    </row>
    <row r="19" spans="1:12" x14ac:dyDescent="0.35">
      <c r="A19">
        <v>1018</v>
      </c>
      <c r="B19">
        <v>508</v>
      </c>
      <c r="C19" t="s">
        <v>27</v>
      </c>
      <c r="D19">
        <v>118</v>
      </c>
      <c r="E19" t="s">
        <v>57</v>
      </c>
      <c r="F19" t="s">
        <v>70</v>
      </c>
      <c r="G19">
        <v>2</v>
      </c>
      <c r="H19">
        <v>350</v>
      </c>
      <c r="I19" t="str">
        <v>Pune</v>
      </c>
      <c r="J19" t="s">
        <v>75</v>
      </c>
      <c r="K19" t="s">
        <v>82</v>
      </c>
      <c r="L19">
        <f t="shared" si="0"/>
        <v>700</v>
      </c>
    </row>
    <row r="20" spans="1:12" x14ac:dyDescent="0.35">
      <c r="A20">
        <v>1019</v>
      </c>
      <c r="B20">
        <v>509</v>
      </c>
      <c r="C20" t="s">
        <v>28</v>
      </c>
      <c r="D20">
        <v>119</v>
      </c>
      <c r="E20" t="s">
        <v>58</v>
      </c>
      <c r="F20" t="s">
        <v>69</v>
      </c>
      <c r="G20">
        <v>2</v>
      </c>
      <c r="H20">
        <v>2800</v>
      </c>
      <c r="I20" t="str">
        <v>Bengaluru</v>
      </c>
      <c r="J20" t="s">
        <v>80</v>
      </c>
      <c r="K20" t="s">
        <v>83</v>
      </c>
      <c r="L20">
        <f t="shared" si="0"/>
        <v>5600</v>
      </c>
    </row>
    <row r="21" spans="1:12" x14ac:dyDescent="0.35">
      <c r="A21">
        <v>1020</v>
      </c>
      <c r="B21">
        <v>510</v>
      </c>
      <c r="C21" t="s">
        <v>29</v>
      </c>
      <c r="D21">
        <v>120</v>
      </c>
      <c r="E21" t="s">
        <v>59</v>
      </c>
      <c r="F21" t="s">
        <v>72</v>
      </c>
      <c r="G21">
        <v>2</v>
      </c>
      <c r="H21">
        <v>900</v>
      </c>
      <c r="I21" t="str">
        <v>Mumbai</v>
      </c>
      <c r="J21" t="s">
        <v>76</v>
      </c>
      <c r="K21" t="s">
        <v>82</v>
      </c>
      <c r="L21">
        <f t="shared" si="0"/>
        <v>1800</v>
      </c>
    </row>
    <row r="22" spans="1:12" x14ac:dyDescent="0.35">
      <c r="A22">
        <v>1021</v>
      </c>
      <c r="B22">
        <v>501</v>
      </c>
      <c r="C22" t="s">
        <v>30</v>
      </c>
      <c r="D22">
        <v>121</v>
      </c>
      <c r="E22" t="s">
        <v>60</v>
      </c>
      <c r="F22" t="s">
        <v>69</v>
      </c>
      <c r="G22">
        <v>1</v>
      </c>
      <c r="H22">
        <v>2400</v>
      </c>
      <c r="I22" t="str">
        <v>Pune</v>
      </c>
      <c r="J22" t="s">
        <v>75</v>
      </c>
      <c r="K22" t="s">
        <v>82</v>
      </c>
      <c r="L22">
        <f t="shared" si="0"/>
        <v>2400</v>
      </c>
    </row>
    <row r="23" spans="1:12" x14ac:dyDescent="0.35">
      <c r="A23">
        <v>1022</v>
      </c>
      <c r="B23">
        <v>502</v>
      </c>
      <c r="C23" t="s">
        <v>31</v>
      </c>
      <c r="D23">
        <v>122</v>
      </c>
      <c r="E23" t="s">
        <v>61</v>
      </c>
      <c r="F23" t="s">
        <v>70</v>
      </c>
      <c r="G23">
        <v>6</v>
      </c>
      <c r="H23">
        <v>120</v>
      </c>
      <c r="I23" t="str">
        <v>Mumbai</v>
      </c>
      <c r="J23" t="s">
        <v>76</v>
      </c>
      <c r="K23" t="s">
        <v>82</v>
      </c>
      <c r="L23">
        <f t="shared" si="0"/>
        <v>720</v>
      </c>
    </row>
    <row r="24" spans="1:12" x14ac:dyDescent="0.35">
      <c r="A24">
        <v>1023</v>
      </c>
      <c r="B24">
        <v>503</v>
      </c>
      <c r="C24" t="s">
        <v>32</v>
      </c>
      <c r="D24">
        <v>123</v>
      </c>
      <c r="E24" t="s">
        <v>62</v>
      </c>
      <c r="F24" t="s">
        <v>71</v>
      </c>
      <c r="G24">
        <v>1</v>
      </c>
      <c r="H24">
        <v>7200</v>
      </c>
      <c r="I24" t="str">
        <v>Pune</v>
      </c>
      <c r="J24" t="s">
        <v>75</v>
      </c>
      <c r="K24" t="s">
        <v>83</v>
      </c>
      <c r="L24">
        <f t="shared" si="0"/>
        <v>7200</v>
      </c>
    </row>
    <row r="25" spans="1:12" x14ac:dyDescent="0.35">
      <c r="A25">
        <v>1024</v>
      </c>
      <c r="B25">
        <v>504</v>
      </c>
      <c r="C25" t="s">
        <v>33</v>
      </c>
      <c r="D25">
        <v>124</v>
      </c>
      <c r="E25" t="s">
        <v>63</v>
      </c>
      <c r="F25" t="s">
        <v>73</v>
      </c>
      <c r="G25">
        <v>1</v>
      </c>
      <c r="H25">
        <v>3500</v>
      </c>
      <c r="I25" t="str">
        <v>Nashik</v>
      </c>
      <c r="J25" t="s">
        <v>77</v>
      </c>
      <c r="K25" t="s">
        <v>82</v>
      </c>
      <c r="L25">
        <f t="shared" si="0"/>
        <v>3500</v>
      </c>
    </row>
    <row r="26" spans="1:12" x14ac:dyDescent="0.35">
      <c r="A26">
        <v>1025</v>
      </c>
      <c r="B26">
        <v>505</v>
      </c>
      <c r="C26" t="s">
        <v>34</v>
      </c>
      <c r="D26">
        <v>125</v>
      </c>
      <c r="E26" t="s">
        <v>64</v>
      </c>
      <c r="F26" t="s">
        <v>69</v>
      </c>
      <c r="G26">
        <v>3</v>
      </c>
      <c r="I26" t="str">
        <v>Mumbai</v>
      </c>
      <c r="J26" t="s">
        <v>76</v>
      </c>
      <c r="K26" t="s">
        <v>82</v>
      </c>
      <c r="L26">
        <f t="shared" si="0"/>
        <v>0</v>
      </c>
    </row>
    <row r="27" spans="1:12" x14ac:dyDescent="0.35">
      <c r="A27">
        <v>1026</v>
      </c>
      <c r="B27">
        <v>506</v>
      </c>
      <c r="C27" t="s">
        <v>35</v>
      </c>
      <c r="D27">
        <v>126</v>
      </c>
      <c r="E27" t="s">
        <v>65</v>
      </c>
      <c r="F27" t="s">
        <v>72</v>
      </c>
      <c r="G27">
        <v>1</v>
      </c>
      <c r="H27">
        <v>6800</v>
      </c>
      <c r="I27" t="str">
        <v>Nagpur</v>
      </c>
      <c r="J27" t="s">
        <v>78</v>
      </c>
      <c r="K27" t="s">
        <v>82</v>
      </c>
      <c r="L27">
        <f t="shared" si="0"/>
        <v>6800</v>
      </c>
    </row>
    <row r="28" spans="1:12" x14ac:dyDescent="0.35">
      <c r="A28">
        <v>1027</v>
      </c>
      <c r="B28">
        <v>507</v>
      </c>
      <c r="C28" t="s">
        <v>36</v>
      </c>
      <c r="D28">
        <v>127</v>
      </c>
      <c r="E28" t="s">
        <v>66</v>
      </c>
      <c r="F28" t="s">
        <v>69</v>
      </c>
      <c r="G28">
        <v>1</v>
      </c>
      <c r="H28">
        <v>1800</v>
      </c>
      <c r="I28" t="str">
        <v>Pune</v>
      </c>
      <c r="J28" t="s">
        <v>75</v>
      </c>
      <c r="K28" t="s">
        <v>84</v>
      </c>
      <c r="L28">
        <f t="shared" si="0"/>
        <v>1800</v>
      </c>
    </row>
    <row r="29" spans="1:12" x14ac:dyDescent="0.35">
      <c r="A29">
        <v>1028</v>
      </c>
      <c r="B29">
        <v>508</v>
      </c>
      <c r="C29" t="s">
        <v>37</v>
      </c>
      <c r="D29">
        <v>128</v>
      </c>
      <c r="E29" t="s">
        <v>67</v>
      </c>
      <c r="F29" t="s">
        <v>70</v>
      </c>
      <c r="G29">
        <v>4</v>
      </c>
      <c r="H29">
        <v>300</v>
      </c>
      <c r="I29" t="str">
        <v>Pune</v>
      </c>
      <c r="J29" t="s">
        <v>75</v>
      </c>
      <c r="K29" t="s">
        <v>82</v>
      </c>
      <c r="L29">
        <f t="shared" si="0"/>
        <v>1200</v>
      </c>
    </row>
    <row r="30" spans="1:12" x14ac:dyDescent="0.35">
      <c r="A30">
        <v>1029</v>
      </c>
      <c r="B30">
        <v>509</v>
      </c>
      <c r="C30" t="s">
        <v>38</v>
      </c>
      <c r="D30">
        <v>129</v>
      </c>
      <c r="E30" t="s">
        <v>43</v>
      </c>
      <c r="F30" t="s">
        <v>71</v>
      </c>
      <c r="G30">
        <v>1</v>
      </c>
      <c r="H30">
        <v>5500</v>
      </c>
      <c r="I30" t="str">
        <v>Bengaluru</v>
      </c>
      <c r="J30" t="s">
        <v>81</v>
      </c>
      <c r="K30" t="s">
        <v>82</v>
      </c>
      <c r="L30">
        <f t="shared" si="0"/>
        <v>5500</v>
      </c>
    </row>
    <row r="31" spans="1:12" x14ac:dyDescent="0.35">
      <c r="A31">
        <v>1030</v>
      </c>
      <c r="B31">
        <v>510</v>
      </c>
      <c r="C31" t="s">
        <v>39</v>
      </c>
      <c r="D31">
        <v>130</v>
      </c>
      <c r="E31" t="s">
        <v>68</v>
      </c>
      <c r="F31" t="s">
        <v>72</v>
      </c>
      <c r="G31">
        <v>2</v>
      </c>
      <c r="H31">
        <v>650</v>
      </c>
      <c r="I31" t="str">
        <v>Mumbai</v>
      </c>
      <c r="J31" t="s">
        <v>76</v>
      </c>
      <c r="K31" t="s">
        <v>82</v>
      </c>
      <c r="L31">
        <f t="shared" si="0"/>
        <v>1300</v>
      </c>
    </row>
    <row r="33" spans="1:12" x14ac:dyDescent="0.35">
      <c r="A33" t="s">
        <v>89</v>
      </c>
      <c r="K33" s="2" t="s">
        <v>90</v>
      </c>
      <c r="L33">
        <f>SUM(L2:L31)</f>
        <v>85870</v>
      </c>
    </row>
    <row r="34" spans="1:12" x14ac:dyDescent="0.35">
      <c r="A34">
        <f>COUNT(A2:A31)</f>
        <v>30</v>
      </c>
    </row>
  </sheetData>
  <autoFilter ref="A1:K31" xr:uid="{6551B501-19EA-4E59-80C1-F63FFE0ADDE5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558E-C82B-4A4C-9117-2092AB2B7423}">
  <dimension ref="B3:C10"/>
  <sheetViews>
    <sheetView topLeftCell="B2" workbookViewId="0">
      <selection activeCell="L22" sqref="L22"/>
    </sheetView>
  </sheetViews>
  <sheetFormatPr defaultRowHeight="14.5" x14ac:dyDescent="0.35"/>
  <cols>
    <col min="2" max="2" width="12.36328125" bestFit="1" customWidth="1"/>
    <col min="3" max="3" width="14.36328125" bestFit="1" customWidth="1"/>
  </cols>
  <sheetData>
    <row r="3" spans="2:3" x14ac:dyDescent="0.35">
      <c r="B3" s="3" t="s">
        <v>91</v>
      </c>
      <c r="C3" t="s">
        <v>93</v>
      </c>
    </row>
    <row r="4" spans="2:3" x14ac:dyDescent="0.35">
      <c r="B4" s="4" t="s">
        <v>69</v>
      </c>
      <c r="C4">
        <v>36200</v>
      </c>
    </row>
    <row r="5" spans="2:3" x14ac:dyDescent="0.35">
      <c r="B5" s="4" t="s">
        <v>74</v>
      </c>
      <c r="C5">
        <v>2100</v>
      </c>
    </row>
    <row r="6" spans="2:3" x14ac:dyDescent="0.35">
      <c r="B6" s="4" t="s">
        <v>73</v>
      </c>
      <c r="C6">
        <v>8100</v>
      </c>
    </row>
    <row r="7" spans="2:3" x14ac:dyDescent="0.35">
      <c r="B7" s="4" t="s">
        <v>71</v>
      </c>
      <c r="C7">
        <v>20600</v>
      </c>
    </row>
    <row r="8" spans="2:3" x14ac:dyDescent="0.35">
      <c r="B8" s="4" t="s">
        <v>72</v>
      </c>
      <c r="C8">
        <v>14600</v>
      </c>
    </row>
    <row r="9" spans="2:3" x14ac:dyDescent="0.35">
      <c r="B9" s="4" t="s">
        <v>70</v>
      </c>
      <c r="C9">
        <v>4270</v>
      </c>
    </row>
    <row r="10" spans="2:3" x14ac:dyDescent="0.35">
      <c r="B10" s="4" t="s">
        <v>92</v>
      </c>
      <c r="C10">
        <v>85870</v>
      </c>
    </row>
  </sheetData>
  <pageMargins left="0.7" right="0.7" top="0.75" bottom="0.75" header="0.3" footer="0.3"/>
  <pageSetup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8A5EA-FF13-412F-9E52-30728A78BA4D}">
  <dimension ref="B3:C33"/>
  <sheetViews>
    <sheetView topLeftCell="A16" workbookViewId="0">
      <selection activeCell="K36" sqref="K36"/>
    </sheetView>
  </sheetViews>
  <sheetFormatPr defaultRowHeight="14.5" x14ac:dyDescent="0.35"/>
  <cols>
    <col min="2" max="2" width="18.81640625" bestFit="1" customWidth="1"/>
    <col min="3" max="3" width="14.36328125" bestFit="1" customWidth="1"/>
  </cols>
  <sheetData>
    <row r="3" spans="2:3" x14ac:dyDescent="0.35">
      <c r="B3" s="3" t="s">
        <v>91</v>
      </c>
      <c r="C3" t="s">
        <v>93</v>
      </c>
    </row>
    <row r="4" spans="2:3" x14ac:dyDescent="0.35">
      <c r="B4" s="4" t="s">
        <v>56</v>
      </c>
      <c r="C4">
        <v>12500</v>
      </c>
    </row>
    <row r="5" spans="2:3" x14ac:dyDescent="0.35">
      <c r="B5" s="4" t="s">
        <v>43</v>
      </c>
      <c r="C5">
        <v>11000</v>
      </c>
    </row>
    <row r="6" spans="2:3" x14ac:dyDescent="0.35">
      <c r="B6" s="4" t="s">
        <v>62</v>
      </c>
      <c r="C6">
        <v>7200</v>
      </c>
    </row>
    <row r="7" spans="2:3" x14ac:dyDescent="0.35">
      <c r="B7" s="4" t="s">
        <v>65</v>
      </c>
      <c r="C7">
        <v>6800</v>
      </c>
    </row>
    <row r="8" spans="2:3" x14ac:dyDescent="0.35">
      <c r="B8" s="4" t="s">
        <v>58</v>
      </c>
      <c r="C8">
        <v>5600</v>
      </c>
    </row>
    <row r="9" spans="2:3" x14ac:dyDescent="0.35">
      <c r="B9" s="4" t="s">
        <v>53</v>
      </c>
      <c r="C9">
        <v>3800</v>
      </c>
    </row>
    <row r="10" spans="2:3" x14ac:dyDescent="0.35">
      <c r="B10" s="4" t="s">
        <v>63</v>
      </c>
      <c r="C10">
        <v>3500</v>
      </c>
    </row>
    <row r="11" spans="2:3" x14ac:dyDescent="0.35">
      <c r="B11" s="4" t="s">
        <v>55</v>
      </c>
      <c r="C11">
        <v>3200</v>
      </c>
    </row>
    <row r="12" spans="2:3" x14ac:dyDescent="0.35">
      <c r="B12" s="4" t="s">
        <v>48</v>
      </c>
      <c r="C12">
        <v>3200</v>
      </c>
    </row>
    <row r="13" spans="2:3" x14ac:dyDescent="0.35">
      <c r="B13" s="4" t="s">
        <v>60</v>
      </c>
      <c r="C13">
        <v>2400</v>
      </c>
    </row>
    <row r="14" spans="2:3" x14ac:dyDescent="0.35">
      <c r="B14" s="4" t="s">
        <v>45</v>
      </c>
      <c r="C14">
        <v>2400</v>
      </c>
    </row>
    <row r="15" spans="2:3" x14ac:dyDescent="0.35">
      <c r="B15" s="4" t="s">
        <v>50</v>
      </c>
      <c r="C15">
        <v>2200</v>
      </c>
    </row>
    <row r="16" spans="2:3" x14ac:dyDescent="0.35">
      <c r="B16" s="4" t="s">
        <v>52</v>
      </c>
      <c r="C16">
        <v>2100</v>
      </c>
    </row>
    <row r="17" spans="2:3" x14ac:dyDescent="0.35">
      <c r="B17" s="4" t="s">
        <v>54</v>
      </c>
      <c r="C17">
        <v>1800</v>
      </c>
    </row>
    <row r="18" spans="2:3" x14ac:dyDescent="0.35">
      <c r="B18" s="4" t="s">
        <v>59</v>
      </c>
      <c r="C18">
        <v>1800</v>
      </c>
    </row>
    <row r="19" spans="2:3" x14ac:dyDescent="0.35">
      <c r="B19" s="4" t="s">
        <v>66</v>
      </c>
      <c r="C19">
        <v>1800</v>
      </c>
    </row>
    <row r="20" spans="2:3" x14ac:dyDescent="0.35">
      <c r="B20" s="4" t="s">
        <v>41</v>
      </c>
      <c r="C20">
        <v>1800</v>
      </c>
    </row>
    <row r="21" spans="2:3" x14ac:dyDescent="0.35">
      <c r="B21" s="4" t="s">
        <v>44</v>
      </c>
      <c r="C21">
        <v>1600</v>
      </c>
    </row>
    <row r="22" spans="2:3" x14ac:dyDescent="0.35">
      <c r="B22" s="4" t="s">
        <v>49</v>
      </c>
      <c r="C22">
        <v>1500</v>
      </c>
    </row>
    <row r="23" spans="2:3" x14ac:dyDescent="0.35">
      <c r="B23" s="4" t="s">
        <v>46</v>
      </c>
      <c r="C23">
        <v>1400</v>
      </c>
    </row>
    <row r="24" spans="2:3" x14ac:dyDescent="0.35">
      <c r="B24" s="4" t="s">
        <v>47</v>
      </c>
      <c r="C24">
        <v>1400</v>
      </c>
    </row>
    <row r="25" spans="2:3" x14ac:dyDescent="0.35">
      <c r="B25" s="4" t="s">
        <v>68</v>
      </c>
      <c r="C25">
        <v>1300</v>
      </c>
    </row>
    <row r="26" spans="2:3" x14ac:dyDescent="0.35">
      <c r="B26" s="4" t="s">
        <v>40</v>
      </c>
      <c r="C26">
        <v>1300</v>
      </c>
    </row>
    <row r="27" spans="2:3" x14ac:dyDescent="0.35">
      <c r="B27" s="4" t="s">
        <v>67</v>
      </c>
      <c r="C27">
        <v>1200</v>
      </c>
    </row>
    <row r="28" spans="2:3" x14ac:dyDescent="0.35">
      <c r="B28" s="4" t="s">
        <v>51</v>
      </c>
      <c r="C28">
        <v>900</v>
      </c>
    </row>
    <row r="29" spans="2:3" x14ac:dyDescent="0.35">
      <c r="B29" s="4" t="s">
        <v>42</v>
      </c>
      <c r="C29">
        <v>750</v>
      </c>
    </row>
    <row r="30" spans="2:3" x14ac:dyDescent="0.35">
      <c r="B30" s="4" t="s">
        <v>61</v>
      </c>
      <c r="C30">
        <v>720</v>
      </c>
    </row>
    <row r="31" spans="2:3" x14ac:dyDescent="0.35">
      <c r="B31" s="4" t="s">
        <v>57</v>
      </c>
      <c r="C31">
        <v>700</v>
      </c>
    </row>
    <row r="32" spans="2:3" x14ac:dyDescent="0.35">
      <c r="B32" s="4" t="s">
        <v>64</v>
      </c>
      <c r="C32">
        <v>0</v>
      </c>
    </row>
    <row r="33" spans="2:3" x14ac:dyDescent="0.35">
      <c r="B33" s="4" t="s">
        <v>92</v>
      </c>
      <c r="C33">
        <v>85870</v>
      </c>
    </row>
  </sheetData>
  <pageMargins left="0.7" right="0.7" top="0.75" bottom="0.75" header="0.3" footer="0.3"/>
  <pageSetup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BA337-4E3B-4DBE-97FA-F12F9F1369A2}">
  <dimension ref="B3:C8"/>
  <sheetViews>
    <sheetView workbookViewId="0">
      <selection activeCell="F1" sqref="F1"/>
    </sheetView>
  </sheetViews>
  <sheetFormatPr defaultRowHeight="14.5" x14ac:dyDescent="0.35"/>
  <cols>
    <col min="2" max="2" width="12.36328125" bestFit="1" customWidth="1"/>
    <col min="3" max="3" width="16.36328125" bestFit="1" customWidth="1"/>
  </cols>
  <sheetData>
    <row r="3" spans="2:3" x14ac:dyDescent="0.35">
      <c r="B3" s="3" t="s">
        <v>91</v>
      </c>
      <c r="C3" t="s">
        <v>95</v>
      </c>
    </row>
    <row r="4" spans="2:3" x14ac:dyDescent="0.35">
      <c r="B4" s="4" t="s">
        <v>85</v>
      </c>
      <c r="C4">
        <v>1</v>
      </c>
    </row>
    <row r="5" spans="2:3" x14ac:dyDescent="0.35">
      <c r="B5" s="4" t="s">
        <v>82</v>
      </c>
      <c r="C5">
        <v>22</v>
      </c>
    </row>
    <row r="6" spans="2:3" x14ac:dyDescent="0.35">
      <c r="B6" s="4" t="s">
        <v>84</v>
      </c>
      <c r="C6">
        <v>3</v>
      </c>
    </row>
    <row r="7" spans="2:3" x14ac:dyDescent="0.35">
      <c r="B7" s="4" t="s">
        <v>83</v>
      </c>
      <c r="C7">
        <v>4</v>
      </c>
    </row>
    <row r="8" spans="2:3" x14ac:dyDescent="0.35">
      <c r="B8" s="4" t="s">
        <v>92</v>
      </c>
      <c r="C8">
        <v>30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02888-2ABD-460B-8D3F-21894D1FBE27}">
  <dimension ref="B3:C9"/>
  <sheetViews>
    <sheetView workbookViewId="0">
      <selection activeCell="G21" sqref="G21"/>
    </sheetView>
  </sheetViews>
  <sheetFormatPr defaultRowHeight="14.5" x14ac:dyDescent="0.35"/>
  <cols>
    <col min="2" max="2" width="12.36328125" bestFit="1" customWidth="1"/>
    <col min="3" max="3" width="14.36328125" bestFit="1" customWidth="1"/>
  </cols>
  <sheetData>
    <row r="3" spans="2:3" x14ac:dyDescent="0.35">
      <c r="B3" s="3" t="s">
        <v>91</v>
      </c>
      <c r="C3" t="s">
        <v>93</v>
      </c>
    </row>
    <row r="4" spans="2:3" x14ac:dyDescent="0.35">
      <c r="B4" s="4" t="s">
        <v>80</v>
      </c>
      <c r="C4">
        <v>14300</v>
      </c>
    </row>
    <row r="5" spans="2:3" x14ac:dyDescent="0.35">
      <c r="B5" s="4" t="s">
        <v>76</v>
      </c>
      <c r="C5">
        <v>11420</v>
      </c>
    </row>
    <row r="6" spans="2:3" x14ac:dyDescent="0.35">
      <c r="B6" s="4" t="s">
        <v>78</v>
      </c>
      <c r="C6">
        <v>11400</v>
      </c>
    </row>
    <row r="7" spans="2:3" x14ac:dyDescent="0.35">
      <c r="B7" s="4" t="s">
        <v>77</v>
      </c>
      <c r="C7">
        <v>12800</v>
      </c>
    </row>
    <row r="8" spans="2:3" x14ac:dyDescent="0.35">
      <c r="B8" s="4" t="s">
        <v>75</v>
      </c>
      <c r="C8">
        <v>35950</v>
      </c>
    </row>
    <row r="9" spans="2:3" x14ac:dyDescent="0.35">
      <c r="B9" s="4" t="s">
        <v>92</v>
      </c>
      <c r="C9">
        <v>85870</v>
      </c>
    </row>
  </sheetData>
  <pageMargins left="0.7" right="0.7" top="0.75" bottom="0.75" header="0.3" footer="0.3"/>
  <pageSetup orientation="portrait" r:id="rId2"/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3DBE9-B2CF-413E-80AB-77A199D393D6}">
  <dimension ref="A2:H10"/>
  <sheetViews>
    <sheetView topLeftCell="A2" workbookViewId="0">
      <selection activeCell="D18" sqref="D18"/>
    </sheetView>
  </sheetViews>
  <sheetFormatPr defaultRowHeight="14.5" x14ac:dyDescent="0.35"/>
  <cols>
    <col min="1" max="1" width="12.6328125" bestFit="1" customWidth="1"/>
    <col min="4" max="4" width="12.6328125" bestFit="1" customWidth="1"/>
    <col min="6" max="6" width="11.1796875" bestFit="1" customWidth="1"/>
    <col min="8" max="8" width="18.1796875" bestFit="1" customWidth="1"/>
  </cols>
  <sheetData>
    <row r="2" spans="1:8" x14ac:dyDescent="0.35">
      <c r="A2" t="s">
        <v>90</v>
      </c>
    </row>
    <row r="3" spans="1:8" x14ac:dyDescent="0.35">
      <c r="A3" t="e">
        <f>SUM('Cleaning Data'!#REF!)</f>
        <v>#REF!</v>
      </c>
    </row>
    <row r="9" spans="1:8" x14ac:dyDescent="0.35">
      <c r="D9" t="s">
        <v>90</v>
      </c>
      <c r="F9" t="s">
        <v>89</v>
      </c>
      <c r="H9" t="s">
        <v>88</v>
      </c>
    </row>
    <row r="10" spans="1:8" x14ac:dyDescent="0.35">
      <c r="D10">
        <f>SUM('Cleaning Data'!L2:L31)</f>
        <v>85870</v>
      </c>
      <c r="F10">
        <f>COUNTA('Cleaning Data'!A2:A31)</f>
        <v>30</v>
      </c>
      <c r="H10">
        <f>D10/F10</f>
        <v>2862.3333333333335</v>
      </c>
    </row>
  </sheetData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683AC-2864-4022-AEFF-9974A47856CF}">
  <dimension ref="A2:Z46"/>
  <sheetViews>
    <sheetView tabSelected="1" topLeftCell="C1" zoomScale="85" zoomScaleNormal="107" workbookViewId="0">
      <selection activeCell="K2" sqref="K2:P2"/>
    </sheetView>
  </sheetViews>
  <sheetFormatPr defaultRowHeight="14.5" x14ac:dyDescent="0.35"/>
  <cols>
    <col min="1" max="1" width="12.90625" customWidth="1"/>
    <col min="2" max="2" width="10.36328125" customWidth="1"/>
    <col min="3" max="3" width="25.36328125" customWidth="1"/>
    <col min="6" max="6" width="6.08984375" customWidth="1"/>
    <col min="7" max="7" width="10.26953125" customWidth="1"/>
    <col min="8" max="8" width="11.7265625" customWidth="1"/>
    <col min="9" max="9" width="13.26953125" customWidth="1"/>
    <col min="11" max="11" width="14.26953125" customWidth="1"/>
    <col min="12" max="12" width="10.1796875" customWidth="1"/>
    <col min="13" max="13" width="6.26953125" customWidth="1"/>
    <col min="14" max="14" width="14" customWidth="1"/>
    <col min="15" max="15" width="18.90625" customWidth="1"/>
    <col min="16" max="16" width="10.26953125" customWidth="1"/>
    <col min="17" max="17" width="8.7265625" customWidth="1"/>
    <col min="18" max="18" width="10.54296875" customWidth="1"/>
    <col min="19" max="19" width="15.453125" customWidth="1"/>
    <col min="20" max="20" width="10.1796875" customWidth="1"/>
    <col min="21" max="21" width="11.54296875" customWidth="1"/>
    <col min="22" max="22" width="16.08984375" customWidth="1"/>
    <col min="24" max="24" width="10.81640625" customWidth="1"/>
    <col min="25" max="25" width="18.36328125" customWidth="1"/>
  </cols>
  <sheetData>
    <row r="2" spans="1:26" ht="46" x14ac:dyDescent="1">
      <c r="K2" s="24" t="s">
        <v>118</v>
      </c>
      <c r="L2" s="25"/>
      <c r="M2" s="25"/>
      <c r="N2" s="25"/>
      <c r="O2" s="25"/>
      <c r="P2" s="25"/>
    </row>
    <row r="5" spans="1:26" ht="18.5" x14ac:dyDescent="0.45">
      <c r="A5" s="12" t="s">
        <v>96</v>
      </c>
      <c r="B5" s="12" t="s">
        <v>97</v>
      </c>
      <c r="C5" s="12" t="s">
        <v>98</v>
      </c>
      <c r="G5" s="26" t="s">
        <v>102</v>
      </c>
      <c r="H5" s="26"/>
      <c r="I5" s="2"/>
      <c r="K5" s="27" t="s">
        <v>103</v>
      </c>
      <c r="L5" s="27"/>
      <c r="N5" s="28" t="s">
        <v>104</v>
      </c>
      <c r="O5" s="28"/>
      <c r="P5" s="28"/>
      <c r="Q5" s="28"/>
      <c r="R5" s="21" t="s">
        <v>111</v>
      </c>
      <c r="S5" s="21"/>
      <c r="T5" s="21"/>
      <c r="U5" s="21"/>
      <c r="X5" s="23" t="s">
        <v>114</v>
      </c>
      <c r="Y5" s="23"/>
      <c r="Z5" s="23"/>
    </row>
    <row r="6" spans="1:26" x14ac:dyDescent="0.35">
      <c r="A6" s="11" t="s">
        <v>90</v>
      </c>
      <c r="B6" s="6">
        <v>85870</v>
      </c>
      <c r="C6" s="7" t="s">
        <v>99</v>
      </c>
    </row>
    <row r="7" spans="1:26" ht="29" customHeight="1" x14ac:dyDescent="0.35">
      <c r="A7" s="11" t="s">
        <v>89</v>
      </c>
      <c r="B7" s="5">
        <v>29</v>
      </c>
      <c r="C7" s="7" t="s">
        <v>100</v>
      </c>
      <c r="G7" s="19" t="s">
        <v>5</v>
      </c>
      <c r="H7" s="19" t="s">
        <v>87</v>
      </c>
      <c r="K7" s="16" t="s">
        <v>8</v>
      </c>
      <c r="L7" s="17" t="s">
        <v>87</v>
      </c>
      <c r="N7" s="15" t="s">
        <v>9</v>
      </c>
      <c r="O7" s="14" t="s">
        <v>105</v>
      </c>
      <c r="P7" s="14"/>
      <c r="R7" s="14" t="s">
        <v>0</v>
      </c>
      <c r="S7" s="15" t="s">
        <v>4</v>
      </c>
      <c r="T7" s="14" t="s">
        <v>6</v>
      </c>
      <c r="U7" s="14" t="s">
        <v>7</v>
      </c>
      <c r="V7" s="14" t="s">
        <v>112</v>
      </c>
      <c r="X7" s="15" t="s">
        <v>5</v>
      </c>
      <c r="Y7" s="14" t="s">
        <v>115</v>
      </c>
    </row>
    <row r="8" spans="1:26" ht="29" x14ac:dyDescent="0.35">
      <c r="A8" s="11" t="s">
        <v>88</v>
      </c>
      <c r="B8" s="8">
        <v>2961.03</v>
      </c>
      <c r="C8" s="7" t="s">
        <v>101</v>
      </c>
      <c r="G8" s="9" t="s">
        <v>69</v>
      </c>
      <c r="H8" s="20">
        <v>36200</v>
      </c>
      <c r="K8" s="9" t="s">
        <v>75</v>
      </c>
      <c r="L8" s="10">
        <v>35950</v>
      </c>
      <c r="N8" s="9" t="s">
        <v>82</v>
      </c>
      <c r="O8" s="10">
        <v>21</v>
      </c>
      <c r="P8" s="10"/>
      <c r="R8" s="10">
        <v>1017</v>
      </c>
      <c r="S8" s="9" t="s">
        <v>56</v>
      </c>
      <c r="T8" s="10">
        <v>1</v>
      </c>
      <c r="U8" s="10">
        <v>12500</v>
      </c>
      <c r="V8" s="10">
        <v>12500</v>
      </c>
      <c r="X8" s="9" t="s">
        <v>71</v>
      </c>
      <c r="Y8" s="10">
        <v>4850</v>
      </c>
    </row>
    <row r="9" spans="1:26" ht="29" customHeight="1" x14ac:dyDescent="0.35">
      <c r="A9" s="8"/>
      <c r="G9" s="9" t="s">
        <v>71</v>
      </c>
      <c r="H9" s="20">
        <v>20600</v>
      </c>
      <c r="K9" s="9" t="s">
        <v>80</v>
      </c>
      <c r="L9" s="10">
        <v>14300</v>
      </c>
      <c r="N9" s="9" t="s">
        <v>83</v>
      </c>
      <c r="O9" s="10">
        <v>4</v>
      </c>
      <c r="P9" s="10"/>
      <c r="R9" s="10">
        <v>1023</v>
      </c>
      <c r="S9" s="9" t="s">
        <v>62</v>
      </c>
      <c r="T9" s="10">
        <v>1</v>
      </c>
      <c r="U9" s="10">
        <v>7200</v>
      </c>
      <c r="V9" s="10">
        <v>7200</v>
      </c>
      <c r="X9" s="9" t="s">
        <v>69</v>
      </c>
      <c r="Y9" s="10">
        <v>2805</v>
      </c>
    </row>
    <row r="10" spans="1:26" x14ac:dyDescent="0.35">
      <c r="A10" s="7"/>
      <c r="G10" s="9" t="s">
        <v>72</v>
      </c>
      <c r="H10" s="20">
        <v>14600</v>
      </c>
      <c r="K10" s="9" t="s">
        <v>77</v>
      </c>
      <c r="L10" s="10">
        <v>12800</v>
      </c>
      <c r="N10" s="9" t="s">
        <v>84</v>
      </c>
      <c r="O10" s="10">
        <v>3</v>
      </c>
      <c r="P10" s="10"/>
      <c r="R10" s="10">
        <v>1026</v>
      </c>
      <c r="S10" s="9" t="s">
        <v>65</v>
      </c>
      <c r="T10" s="10">
        <v>1</v>
      </c>
      <c r="U10" s="10">
        <v>6800</v>
      </c>
      <c r="V10" s="10">
        <v>6800</v>
      </c>
      <c r="X10" s="9" t="s">
        <v>73</v>
      </c>
      <c r="Y10" s="10">
        <v>2700</v>
      </c>
    </row>
    <row r="11" spans="1:26" ht="29" customHeight="1" x14ac:dyDescent="0.35">
      <c r="G11" s="9" t="s">
        <v>73</v>
      </c>
      <c r="H11" s="20">
        <v>8100</v>
      </c>
      <c r="K11" s="9" t="s">
        <v>76</v>
      </c>
      <c r="L11" s="10">
        <v>11420</v>
      </c>
      <c r="N11" s="9" t="s">
        <v>85</v>
      </c>
      <c r="O11" s="10">
        <v>1</v>
      </c>
      <c r="P11" s="10"/>
      <c r="R11" s="10">
        <v>1019</v>
      </c>
      <c r="S11" s="9" t="s">
        <v>58</v>
      </c>
      <c r="T11" s="10">
        <v>2</v>
      </c>
      <c r="U11" s="10">
        <v>2800</v>
      </c>
      <c r="V11" s="10">
        <v>5600</v>
      </c>
      <c r="X11" s="9" t="s">
        <v>74</v>
      </c>
      <c r="Y11" s="10">
        <v>2100</v>
      </c>
    </row>
    <row r="12" spans="1:26" ht="29" customHeight="1" x14ac:dyDescent="0.35">
      <c r="G12" s="9" t="s">
        <v>70</v>
      </c>
      <c r="H12" s="20">
        <v>4270</v>
      </c>
      <c r="K12" s="9" t="s">
        <v>78</v>
      </c>
      <c r="L12" s="10">
        <v>11400</v>
      </c>
      <c r="R12" s="10">
        <v>1004</v>
      </c>
      <c r="S12" s="9" t="s">
        <v>43</v>
      </c>
      <c r="T12" s="10">
        <v>1</v>
      </c>
      <c r="U12" s="10">
        <v>5500</v>
      </c>
      <c r="V12" s="10">
        <v>5500</v>
      </c>
      <c r="X12" s="9" t="s">
        <v>72</v>
      </c>
      <c r="Y12" s="10">
        <v>1666.67</v>
      </c>
    </row>
    <row r="13" spans="1:26" ht="29" customHeight="1" x14ac:dyDescent="0.35">
      <c r="G13" s="9" t="s">
        <v>74</v>
      </c>
      <c r="H13" s="20">
        <v>2100</v>
      </c>
      <c r="R13" s="10">
        <v>1029</v>
      </c>
      <c r="S13" s="9" t="s">
        <v>43</v>
      </c>
      <c r="T13" s="10">
        <v>1</v>
      </c>
      <c r="U13" s="10">
        <v>5500</v>
      </c>
      <c r="V13" s="10">
        <v>5500</v>
      </c>
      <c r="X13" s="9" t="s">
        <v>70</v>
      </c>
      <c r="Y13" s="10">
        <v>240</v>
      </c>
    </row>
    <row r="16" spans="1:26" ht="18.5" x14ac:dyDescent="0.45">
      <c r="H16" s="29" t="s">
        <v>106</v>
      </c>
      <c r="I16" s="29"/>
      <c r="K16" s="27" t="s">
        <v>113</v>
      </c>
      <c r="L16" s="27"/>
      <c r="M16" s="27"/>
      <c r="N16" s="30" t="s">
        <v>109</v>
      </c>
      <c r="O16" s="30"/>
      <c r="P16" s="13"/>
      <c r="R16" s="22" t="s">
        <v>116</v>
      </c>
      <c r="S16" s="22"/>
      <c r="T16" s="22"/>
    </row>
    <row r="18" spans="8:22" ht="29" customHeight="1" x14ac:dyDescent="0.35">
      <c r="H18" s="15" t="s">
        <v>8</v>
      </c>
      <c r="I18" s="14" t="s">
        <v>89</v>
      </c>
      <c r="K18" s="18" t="s">
        <v>117</v>
      </c>
      <c r="L18" s="18" t="s">
        <v>6</v>
      </c>
      <c r="N18" s="15" t="s">
        <v>5</v>
      </c>
      <c r="O18" s="14" t="s">
        <v>110</v>
      </c>
      <c r="P18" s="14"/>
      <c r="R18" s="17" t="s">
        <v>0</v>
      </c>
      <c r="S18" s="16" t="s">
        <v>4</v>
      </c>
      <c r="T18" s="17" t="s">
        <v>6</v>
      </c>
      <c r="U18" s="17" t="s">
        <v>7</v>
      </c>
      <c r="V18" s="17" t="s">
        <v>112</v>
      </c>
    </row>
    <row r="19" spans="8:22" ht="29" customHeight="1" x14ac:dyDescent="0.35">
      <c r="H19" s="9" t="s">
        <v>75</v>
      </c>
      <c r="I19" s="10">
        <v>12</v>
      </c>
      <c r="K19" s="9" t="s">
        <v>61</v>
      </c>
      <c r="L19" s="9">
        <v>6</v>
      </c>
      <c r="N19" s="9" t="s">
        <v>70</v>
      </c>
      <c r="O19" s="10">
        <v>20</v>
      </c>
      <c r="P19" s="10"/>
      <c r="R19" s="10">
        <v>1022</v>
      </c>
      <c r="S19" s="9" t="s">
        <v>61</v>
      </c>
      <c r="T19" s="10">
        <v>6</v>
      </c>
      <c r="U19" s="10">
        <v>120</v>
      </c>
      <c r="V19" s="10">
        <v>720</v>
      </c>
    </row>
    <row r="20" spans="8:22" x14ac:dyDescent="0.35">
      <c r="H20" s="9" t="s">
        <v>76</v>
      </c>
      <c r="I20" s="10">
        <v>8</v>
      </c>
      <c r="K20" s="9" t="s">
        <v>51</v>
      </c>
      <c r="L20" s="9">
        <v>5</v>
      </c>
      <c r="N20" s="9" t="s">
        <v>69</v>
      </c>
      <c r="O20" s="10">
        <v>17</v>
      </c>
      <c r="P20" s="10"/>
      <c r="R20" s="10">
        <v>1012</v>
      </c>
      <c r="S20" s="9" t="s">
        <v>51</v>
      </c>
      <c r="T20" s="10">
        <v>5</v>
      </c>
      <c r="U20" s="10">
        <v>180</v>
      </c>
      <c r="V20" s="10">
        <v>900</v>
      </c>
    </row>
    <row r="21" spans="8:22" ht="29" customHeight="1" x14ac:dyDescent="0.35">
      <c r="H21" s="9" t="s">
        <v>77</v>
      </c>
      <c r="I21" s="10">
        <v>3</v>
      </c>
      <c r="K21" s="9" t="s">
        <v>44</v>
      </c>
      <c r="L21" s="9">
        <v>4</v>
      </c>
      <c r="N21" s="9" t="s">
        <v>72</v>
      </c>
      <c r="O21" s="10">
        <v>14</v>
      </c>
      <c r="P21" s="10"/>
      <c r="R21" s="10">
        <v>1005</v>
      </c>
      <c r="S21" s="9" t="s">
        <v>44</v>
      </c>
      <c r="T21" s="10">
        <v>4</v>
      </c>
      <c r="U21" s="10">
        <v>400</v>
      </c>
      <c r="V21" s="10">
        <v>1600</v>
      </c>
    </row>
    <row r="22" spans="8:22" ht="29" customHeight="1" x14ac:dyDescent="0.35">
      <c r="H22" s="9" t="s">
        <v>78</v>
      </c>
      <c r="I22" s="10">
        <v>3</v>
      </c>
      <c r="K22" s="9" t="s">
        <v>54</v>
      </c>
      <c r="L22" s="9">
        <v>4</v>
      </c>
      <c r="N22" s="9" t="s">
        <v>71</v>
      </c>
      <c r="O22" s="10">
        <v>5</v>
      </c>
      <c r="P22" s="10"/>
      <c r="R22" s="10">
        <v>1015</v>
      </c>
      <c r="S22" s="9" t="s">
        <v>54</v>
      </c>
      <c r="T22" s="10">
        <v>4</v>
      </c>
      <c r="U22" s="10">
        <v>450</v>
      </c>
      <c r="V22" s="10">
        <v>1800</v>
      </c>
    </row>
    <row r="23" spans="8:22" ht="29" customHeight="1" x14ac:dyDescent="0.35">
      <c r="H23" s="9" t="s">
        <v>80</v>
      </c>
      <c r="I23" s="10">
        <v>3</v>
      </c>
      <c r="K23" s="9" t="s">
        <v>67</v>
      </c>
      <c r="L23" s="9">
        <v>4</v>
      </c>
      <c r="N23" s="9" t="s">
        <v>73</v>
      </c>
      <c r="O23" s="10">
        <v>3</v>
      </c>
      <c r="P23" s="10"/>
      <c r="R23" s="10">
        <v>1028</v>
      </c>
      <c r="S23" s="9" t="s">
        <v>67</v>
      </c>
      <c r="T23" s="10">
        <v>4</v>
      </c>
      <c r="U23" s="10">
        <v>300</v>
      </c>
      <c r="V23" s="10">
        <v>1200</v>
      </c>
    </row>
    <row r="24" spans="8:22" ht="29" customHeight="1" x14ac:dyDescent="0.35">
      <c r="H24" s="9" t="s">
        <v>107</v>
      </c>
      <c r="I24" s="10">
        <v>29</v>
      </c>
      <c r="K24" s="9" t="s">
        <v>42</v>
      </c>
      <c r="L24" s="9">
        <v>3</v>
      </c>
      <c r="N24" s="9" t="s">
        <v>74</v>
      </c>
      <c r="O24" s="10">
        <v>1</v>
      </c>
      <c r="P24" s="10"/>
      <c r="R24" s="10">
        <v>1003</v>
      </c>
      <c r="S24" s="9" t="s">
        <v>42</v>
      </c>
      <c r="T24" s="10">
        <v>3</v>
      </c>
      <c r="U24" s="10">
        <v>250</v>
      </c>
      <c r="V24" s="10">
        <v>750</v>
      </c>
    </row>
    <row r="25" spans="8:22" x14ac:dyDescent="0.35">
      <c r="K25" s="9" t="s">
        <v>49</v>
      </c>
      <c r="L25" s="9">
        <v>3</v>
      </c>
      <c r="R25" s="10">
        <v>1010</v>
      </c>
      <c r="S25" s="9" t="s">
        <v>49</v>
      </c>
      <c r="T25" s="10">
        <v>3</v>
      </c>
      <c r="U25" s="10">
        <v>500</v>
      </c>
      <c r="V25" s="10">
        <v>1500</v>
      </c>
    </row>
    <row r="26" spans="8:22" ht="29" x14ac:dyDescent="0.35">
      <c r="K26" s="9" t="s">
        <v>40</v>
      </c>
      <c r="L26" s="9">
        <v>2</v>
      </c>
    </row>
    <row r="27" spans="8:22" x14ac:dyDescent="0.35">
      <c r="K27" s="9" t="s">
        <v>43</v>
      </c>
      <c r="L27" s="9">
        <v>2</v>
      </c>
    </row>
    <row r="28" spans="8:22" x14ac:dyDescent="0.35">
      <c r="K28" s="9" t="s">
        <v>45</v>
      </c>
      <c r="L28" s="9">
        <v>2</v>
      </c>
    </row>
    <row r="29" spans="8:22" x14ac:dyDescent="0.35">
      <c r="K29" s="9" t="s">
        <v>46</v>
      </c>
      <c r="L29" s="9">
        <v>2</v>
      </c>
    </row>
    <row r="30" spans="8:22" x14ac:dyDescent="0.35">
      <c r="K30" s="9" t="s">
        <v>48</v>
      </c>
      <c r="L30" s="9">
        <v>2</v>
      </c>
    </row>
    <row r="31" spans="8:22" x14ac:dyDescent="0.35">
      <c r="K31" s="9" t="s">
        <v>53</v>
      </c>
      <c r="L31" s="9">
        <v>2</v>
      </c>
    </row>
    <row r="32" spans="8:22" x14ac:dyDescent="0.35">
      <c r="K32" s="9" t="s">
        <v>57</v>
      </c>
      <c r="L32" s="9">
        <v>2</v>
      </c>
    </row>
    <row r="33" spans="11:12" x14ac:dyDescent="0.35">
      <c r="K33" s="9" t="s">
        <v>58</v>
      </c>
      <c r="L33" s="9">
        <v>2</v>
      </c>
    </row>
    <row r="34" spans="11:12" x14ac:dyDescent="0.35">
      <c r="K34" s="9" t="s">
        <v>108</v>
      </c>
      <c r="L34" s="9">
        <v>2</v>
      </c>
    </row>
    <row r="35" spans="11:12" x14ac:dyDescent="0.35">
      <c r="K35" s="9" t="s">
        <v>68</v>
      </c>
      <c r="L35" s="9">
        <v>2</v>
      </c>
    </row>
    <row r="36" spans="11:12" ht="29" x14ac:dyDescent="0.35">
      <c r="K36" s="9" t="s">
        <v>41</v>
      </c>
      <c r="L36" s="9">
        <v>1</v>
      </c>
    </row>
    <row r="37" spans="11:12" x14ac:dyDescent="0.35">
      <c r="K37" s="9" t="s">
        <v>47</v>
      </c>
      <c r="L37" s="9">
        <v>1</v>
      </c>
    </row>
    <row r="38" spans="11:12" ht="29" x14ac:dyDescent="0.35">
      <c r="K38" s="9" t="s">
        <v>50</v>
      </c>
      <c r="L38" s="9">
        <v>1</v>
      </c>
    </row>
    <row r="39" spans="11:12" x14ac:dyDescent="0.35">
      <c r="K39" s="9" t="s">
        <v>52</v>
      </c>
      <c r="L39" s="9">
        <v>1</v>
      </c>
    </row>
    <row r="40" spans="11:12" x14ac:dyDescent="0.35">
      <c r="K40" s="9" t="s">
        <v>55</v>
      </c>
      <c r="L40" s="9">
        <v>1</v>
      </c>
    </row>
    <row r="41" spans="11:12" x14ac:dyDescent="0.35">
      <c r="K41" s="9" t="s">
        <v>56</v>
      </c>
      <c r="L41" s="9">
        <v>1</v>
      </c>
    </row>
    <row r="42" spans="11:12" x14ac:dyDescent="0.35">
      <c r="K42" s="9" t="s">
        <v>60</v>
      </c>
      <c r="L42" s="9">
        <v>1</v>
      </c>
    </row>
    <row r="43" spans="11:12" x14ac:dyDescent="0.35">
      <c r="K43" s="9" t="s">
        <v>62</v>
      </c>
      <c r="L43" s="9">
        <v>1</v>
      </c>
    </row>
    <row r="44" spans="11:12" x14ac:dyDescent="0.35">
      <c r="K44" s="9" t="s">
        <v>63</v>
      </c>
      <c r="L44" s="9">
        <v>1</v>
      </c>
    </row>
    <row r="45" spans="11:12" x14ac:dyDescent="0.35">
      <c r="K45" s="9" t="s">
        <v>65</v>
      </c>
      <c r="L45" s="9">
        <v>1</v>
      </c>
    </row>
    <row r="46" spans="11:12" x14ac:dyDescent="0.35">
      <c r="K46" s="9" t="s">
        <v>66</v>
      </c>
      <c r="L46" s="9">
        <v>1</v>
      </c>
    </row>
  </sheetData>
  <mergeCells count="10">
    <mergeCell ref="R5:U5"/>
    <mergeCell ref="R16:T16"/>
    <mergeCell ref="X5:Z5"/>
    <mergeCell ref="K2:P2"/>
    <mergeCell ref="G5:H5"/>
    <mergeCell ref="K5:L5"/>
    <mergeCell ref="N5:Q5"/>
    <mergeCell ref="H16:I16"/>
    <mergeCell ref="K16:M16"/>
    <mergeCell ref="N16:O16"/>
  </mergeCells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082A-F1D5-4A90-A6D4-46BD439993F2}">
  <dimension ref="A1"/>
  <sheetViews>
    <sheetView workbookViewId="0">
      <selection activeCell="H3" sqref="H3"/>
    </sheetView>
  </sheetViews>
  <sheetFormatPr defaultRowHeight="14.5" x14ac:dyDescent="0.35"/>
  <cols>
    <col min="8" max="8" width="36.36328125" customWidth="1"/>
  </cols>
  <sheetData/>
  <pageMargins left="0.70866141732283472" right="0.70866141732283472" top="0.74803149606299213" bottom="0.74803149606299213" header="0.31496062992125984" footer="0.3149606299212598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Raw_Data</vt:lpstr>
      <vt:lpstr>Cleaning Data</vt:lpstr>
      <vt:lpstr>Category  Wise Revenue</vt:lpstr>
      <vt:lpstr>Product Wise Revenue</vt:lpstr>
      <vt:lpstr>Order_id wise Status Analysis</vt:lpstr>
      <vt:lpstr>City wise Revenue</vt:lpstr>
      <vt:lpstr>Dashboard</vt:lpstr>
      <vt:lpstr>SQL Querrys</vt:lpstr>
      <vt:lpstr>Sheet2</vt:lpstr>
      <vt:lpstr>Sheet2!Print_Area</vt:lpstr>
      <vt:lpstr>Sheet2!Print_Titles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Priyanka Desai</cp:lastModifiedBy>
  <dcterms:created xsi:type="dcterms:W3CDTF">2026-09-24T05:09:34Z</dcterms:created>
  <dcterms:modified xsi:type="dcterms:W3CDTF">2026-09-27T08:39:44Z</dcterms:modified>
</cp:coreProperties>
</file>